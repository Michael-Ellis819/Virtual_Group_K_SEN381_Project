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79341f61b9d4299" /></Relationships>
</file>

<file path=xl/workbook.xml><?xml version="1.0" encoding="utf-8"?>
<x:workbook xmlns:x="http://schemas.openxmlformats.org/spreadsheetml/2006/main">
  <x:sheets>
    <x:sheet xmlns:r="http://schemas.openxmlformats.org/officeDocument/2006/relationships" name="RTM" sheetId="1" r:id="R6efa84dfd90541a1"/>
    <x:sheet xmlns:r="http://schemas.openxmlformats.org/officeDocument/2006/relationships" name="Requirements" sheetId="2" r:id="Red4c5d83536246f7"/>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1"/>
      <x:color rgb="FF000000"/>
      <x:name val="Calibri"/>
    </x:font>
    <x:font>
      <x:b/>
      <x:sz val="11"/>
      <x:color rgb="FF000000"/>
      <x:name val="Calibri"/>
    </x:font>
    <x:font>
      <x:sz val="11"/>
      <x:name val="Calibri"/>
    </x:font>
    <x:font>
      <x:b/>
      <x:sz val="11"/>
      <x:name val="Calibri"/>
    </x:font>
  </x:fonts>
  <x:fills count="8">
    <x:fill>
      <x:patternFill patternType="none"/>
    </x:fill>
    <x:fill>
      <x:patternFill patternType="gray125"/>
    </x:fill>
    <x:fill>
      <x:patternFill patternType="solid">
        <x:fgColor rgb="FFE7E6E6"/>
      </x:patternFill>
    </x:fill>
    <x:fill>
      <x:patternFill patternType="solid">
        <x:fgColor rgb="FFF5F5F5"/>
      </x:patternFill>
    </x:fill>
    <x:fill>
      <x:patternFill patternType="solid">
        <x:fgColor rgb="FFE7E6E6"/>
      </x:patternFill>
    </x:fill>
    <x:fill>
      <x:patternFill patternType="solid">
        <x:fgColor rgb="FFFFFFFF"/>
      </x:patternFill>
    </x:fill>
    <x:fill>
      <x:patternFill patternType="solid">
        <x:fgColor rgb="FFF5F5F5"/>
      </x:patternFill>
    </x:fill>
    <x:fill>
      <x:patternFill patternType="solid">
        <x:fgColor rgb="FFD9D9D9"/>
      </x:patternFill>
    </x:fill>
  </x:fills>
  <x:borders count="1">
    <x:border/>
  </x:borders>
  <x:cellStyleXfs count="1">
    <x:xf numFmtId="0" fontId="0" fillId="0" borderId="0"/>
  </x:cellStyleXfs>
  <x:cellXfs count="22">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3" fillId="0" borderId="0" xfId="0" applyNumberFormat="1" applyFont="1" applyFill="1" applyBorder="1"/>
    <x:xf numFmtId="0" fontId="3" fillId="0" borderId="0" xfId="0" applyNumberFormat="1" applyFont="1" applyFill="1" applyBorder="1" applyAlignment="1">
      <x:alignment wrapText="1"/>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4" fillId="0"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vertical="top"/>
    </x:xf>
    <x:xf numFmtId="0" fontId="0" fillId="0" borderId="0" xfId="0" applyNumberFormat="1" applyFont="1" applyFill="1" applyBorder="1" applyAlignment="1">
      <x:alignment vertical="top"/>
    </x:xf>
    <x:xf numFmtId="0" fontId="4" fillId="7" borderId="0" xfId="0" applyNumberFormat="1" applyFont="1" applyFill="1" applyBorder="1" applyAlignment="1">
      <x:alignment vertical="top" wrapText="1"/>
    </x:xf>
    <x:xf numFmtId="0" fontId="0"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e93fb1508eb4655" /><Relationship Type="http://schemas.openxmlformats.org/officeDocument/2006/relationships/theme" Target="/xl/theme/theme1.xml" Id="R3f45be5e49114e0e" /><Relationship Type="http://schemas.openxmlformats.org/officeDocument/2006/relationships/sharedStrings" Target="/xl/sharedStrings.xml" Id="Rd3ae2cded271459e" /><Relationship Type="http://schemas.openxmlformats.org/officeDocument/2006/relationships/worksheet" Target="/xl/worksheets/sheet1.xml" Id="R6efa84dfd90541a1" /><Relationship Type="http://schemas.openxmlformats.org/officeDocument/2006/relationships/worksheet" Target="/xl/worksheets/sheet2.xml" Id="Red4c5d83536246f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11.670000076293945" hidden="0" customWidth="1"/>
    <x:col min="2" max="2" width="26.110000610351562" hidden="0" customWidth="1"/>
    <x:col min="3" max="3" width="37.220001220703125" hidden="0" customWidth="1"/>
    <x:col min="4" max="4" width="27.780000686645508" hidden="0" customWidth="1"/>
    <x:col min="5" max="5" width="10" hidden="0" customWidth="1"/>
    <x:col min="6" max="6" width="32.220001220703125" hidden="0" customWidth="1"/>
    <x:col min="7" max="7" width="48" hidden="0" customWidth="1"/>
    <x:col min="8" max="8" width="48" hidden="0" customWidth="1"/>
    <x:col min="9" max="9" width="48" hidden="0" customWidth="1"/>
    <x:col min="10" max="10" width="32" hidden="0" customWidth="1"/>
    <x:col min="11" max="11" width="22" hidden="0" customWidth="1"/>
    <x:col min="12" max="12" width="22" hidden="0" customWidth="1"/>
    <x:col min="14" max="14" width="48" hidden="0" customWidth="1"/>
    <x:col min="15" max="15" width="48" hidden="0" customWidth="1"/>
    <x:col min="16" max="16" width="48" hidden="0" customWidth="1"/>
    <x:col min="18" max="18" width="48" hidden="0" customWidth="1"/>
    <x:col min="13" max="13" width="32" hidden="0" customWidth="1"/>
    <x:col min="17" max="17" width="32" hidden="0" customWidth="1"/>
    <x:col min="19" max="19" width="65" hidden="0" customWidth="1"/>
    <x:col min="20" max="20" width="65" hidden="0" customWidth="1"/>
    <x:col min="21" max="21" width="65" hidden="0" customWidth="1"/>
    <x:col min="22" max="22" width="28" hidden="0" customWidth="1"/>
  </x:cols>
  <x:sheetData>
    <x:row r="1" ht="42" customHeight="1">
      <x:c r="A1" s="5" t="str">
        <x:v>Requirement ID</x:v>
      </x:c>
      <x:c r="B1" s="5" t="str">
        <x:v>Requirement</x:v>
      </x:c>
      <x:c r="C1" s="5" t="str">
        <x:v>Stakeholder and source</x:v>
      </x:c>
      <x:c r="D1" s="5" t="str">
        <x:v>Scope reference</x:v>
      </x:c>
      <x:c r="E1" s="5" t="str">
        <x:v>Priority</x:v>
      </x:c>
      <x:c r="F1" s="5" t="str">
        <x:v>Acceptance IDs</x:v>
      </x:c>
      <x:c r="G1" s="5" t="str">
        <x:v>Design reference</x:v>
      </x:c>
      <x:c r="H1" s="5" t="str">
        <x:v>Issue / PR / code</x:v>
      </x:c>
      <x:c r="I1" s="5" t="str">
        <x:v>Test evidence</x:v>
      </x:c>
      <x:c r="J1" s="5" t="str">
        <x:v>Change reference</x:v>
      </x:c>
      <x:c r="K1" s="5" t="str">
        <x:v>Release evidence</x:v>
      </x:c>
      <x:c r="L1" s="5" t="str">
        <x:v>Implementation status</x:v>
      </x:c>
      <x:c r="M1" s="11" t="str">
        <x:v>ASR / quality driver</x:v>
      </x:c>
      <x:c r="N1" s="11" t="str">
        <x:v>Architecture / module</x:v>
      </x:c>
      <x:c r="O1" s="11" t="str">
        <x:v>Data / persistence impact</x:v>
      </x:c>
      <x:c r="P1" s="11" t="str">
        <x:v>Technology decision</x:v>
      </x:c>
      <x:c r="Q1" s="11" t="str">
        <x:v>ADR / risk reference</x:v>
      </x:c>
      <x:c r="R1" s="11" t="str">
        <x:v>Current requirement wording</x:v>
      </x:c>
      <x:c r="S1" s="20" t="str">
        <x:v>Expected / observed result</x:v>
      </x:c>
      <x:c r="T1" s="20" t="str">
        <x:v>Defect or remaining acceptance gap</x:v>
      </x:c>
      <x:c r="U1" s="20" t="str">
        <x:v>M3 execution evidence</x:v>
      </x:c>
      <x:c r="V1" s="20" t="str">
        <x:v>Evidence date / executor</x:v>
      </x:c>
    </x:row>
    <x:row r="2" ht="95" customHeight="1">
      <x:c r="A2" s="3" t="str">
        <x:v>FR-001</x:v>
      </x:c>
      <x:c r="B2" s="3" t="str">
        <x:v>Submit a service request</x:v>
      </x:c>
      <x:c r="C2" s="3" t="str">
        <x:v>Requester; PED §1.2, §2.1.1; MB §3 Requester</x:v>
      </x:c>
      <x:c r="D2" s="3" t="str">
        <x:v>SR-IN-01</x:v>
      </x:c>
      <x:c r="E2" s="3" t="str">
        <x:f>INDEX(Requirements!$C$2:$C$28,MATCH(A2,Requirements!$A$2:$A$28,0))</x:f>
        <x:v>High</x:v>
      </x:c>
      <x:c r="F2" s="3" t="str">
        <x:v>AC-FR-001-1; AC-FR-001-2</x:v>
      </x:c>
      <x:c r="G2" s="3" t="str">
        <x:v>ADR-M2-03; ADR-M2-04; ADR-M2-06; docs/decisions/README.md</x:v>
      </x:c>
      <x:c r="H2" s="3" t="str">
        <x:v>Planned. Design source PR #10 (architecture) / #11 (data/technology); no application implementation for this row.</x:v>
      </x:c>
      <x:c r="I2" s="3" t="str">
        <x:v>Creation and input validation not implemented</x:v>
      </x:c>
      <x:c r="J2" s="3" t="str">
        <x:v>M2 consolidation 2026-09-30; requirement/AC unchanged; M3 2026-10-13: evidence evolved; requirement/AC unchanged; CR-M3-C01.</x:v>
      </x:c>
      <x:c r="K2" s="3" t="str">
        <x:v>Local review baseline; release NOT READY; docs/release-evidence.md.</x:v>
      </x:c>
      <x:c r="L2" s="3" t="str">
        <x:v>Planned</x:v>
      </x:c>
      <x:c r="M2" s="14" t="str">
        <x:v>Integrity; pilot performance</x:v>
      </x:c>
      <x:c r="N2" s="14" t="str">
        <x:v>Submission service (planned)</x:v>
      </x:c>
      <x:c r="O2" s="14" t="str">
        <x:v>ServiceRequest, Category, RequestHistory; atomic creation and idempotency</x:v>
      </x:c>
      <x:c r="P2" s="14" t="str">
        <x:v>ADR-M2-04: ASP.NET Core MVC/Razor; EF Core/Npgsql 8.0.11; PostgreSQL adapters/migrations implemented by Michael (PR14).</x:v>
      </x:c>
      <x:c r="Q2" s="14" t="str">
        <x:v>R-015; R-036</x:v>
      </x:c>
      <x:c r="R2" s="14" t="str">
        <x:f>INDEX(Requirements!$B$2:$B$28,MATCH(A2,Requirements!$A$2:$A$28,0))</x:f>
        <x:v>Allow requesters to submit a request with a category, description and location.</x:v>
      </x:c>
      <x:c r="S2" s="21" t="str">
        <x:v>Not executed for complete acceptance.</x:v>
      </x:c>
      <x:c r="T2" s="21" t="str">
        <x:v>Request creation and input-validation endpoint absent.</x:v>
      </x:c>
      <x:c r="U2" s="21" t="str">
        <x:v>No complete M3 execution evidence; see docs/release-evidence.md.</x:v>
      </x:c>
      <x:c r="V2" s="21" t="str">
        <x:v>2026-10-13 evidence review.</x:v>
      </x:c>
    </x:row>
    <x:row r="3" ht="95" customHeight="1">
      <x:c r="A3" s="6" t="str">
        <x:v>FR-002</x:v>
      </x:c>
      <x:c r="B3" s="6" t="str">
        <x:v>Controlled request categories</x:v>
      </x:c>
      <x:c r="C3" s="6" t="str">
        <x:v>Requester; Staff; PED §2.1.1, A-02; MB §3 Requester</x:v>
      </x:c>
      <x:c r="D3" s="6" t="str">
        <x:v>SR-IN-02</x:v>
      </x:c>
      <x:c r="E3" s="6" t="str">
        <x:f>INDEX(Requirements!$C$2:$C$28,MATCH(A3,Requirements!$A$2:$A$28,0))</x:f>
        <x:v>High</x:v>
      </x:c>
      <x:c r="F3" s="6" t="str">
        <x:v>AC-FR-002-1; AC-FR-002-2</x:v>
      </x:c>
      <x:c r="G3" s="6" t="str">
        <x:v>ADR-M2-03; ADR-M2-04; docs/decisions/README.md</x:v>
      </x:c>
      <x:c r="H3" s="6" t="str">
        <x:v>Planned. Design source PR #10 (architecture) / #11 (data/technology); no application implementation for this row.</x:v>
      </x:c>
      <x:c r="I3" s="6" t="str">
        <x:v>Controlled catalogue and persistent keys not implemented</x:v>
      </x:c>
      <x:c r="J3" s="6" t="str">
        <x:v>M2 consolidation 2026-09-30; requirement/AC unchanged; M3 2026-10-13: evidence evolved; requirement/AC unchanged; CR-M3-C01.</x:v>
      </x:c>
      <x:c r="K3" s="6" t="str">
        <x:v>Local review baseline; release NOT READY; docs/release-evidence.md.</x:v>
      </x:c>
      <x:c r="L3" s="6" t="str">
        <x:v>Planned</x:v>
      </x:c>
      <x:c r="M3" s="15" t="str">
        <x:v>Integrity</x:v>
      </x:c>
      <x:c r="N3" s="15" t="str">
        <x:v>Category catalogue (planned)</x:v>
      </x:c>
      <x:c r="O3" s="15" t="str">
        <x:v>Category FK; retain referenced category</x:v>
      </x:c>
      <x:c r="P3" s="15" t="str">
        <x:v>ADR-M2-04: ASP.NET Core MVC/Razor; EF Core/Npgsql 8.0.11; PostgreSQL adapters/migrations implemented by Michael (PR14).</x:v>
      </x:c>
      <x:c r="Q3" s="15" t="str">
        <x:v>R-019</x:v>
      </x:c>
      <x:c r="R3" s="15" t="str">
        <x:f>INDEX(Requirements!$B$2:$B$28,MATCH(A3,Requirements!$A$2:$A$28,0))</x:f>
        <x:v>Use a predefined list of request categories.</x:v>
      </x:c>
      <x:c r="S3" s="21" t="str">
        <x:v>Not executed for complete acceptance.</x:v>
      </x:c>
      <x:c r="T3" s="21" t="str">
        <x:v>Controlled category catalogue/enforced category key absent.</x:v>
      </x:c>
      <x:c r="U3" s="21" t="str">
        <x:v>No complete M3 execution evidence; see docs/release-evidence.md.</x:v>
      </x:c>
      <x:c r="V3" s="21" t="str">
        <x:v>2026-10-13 evidence review.</x:v>
      </x:c>
    </x:row>
    <x:row r="4" ht="95" customHeight="1">
      <x:c r="A4" s="3" t="str">
        <x:v>FR-003</x:v>
      </x:c>
      <x:c r="B4" s="3" t="str">
        <x:v>View own request status</x:v>
      </x:c>
      <x:c r="C4" s="3" t="str">
        <x:v>Requester; PED §1.2, §2.1.1; MB §3 Requester</x:v>
      </x:c>
      <x:c r="D4" s="3" t="str">
        <x:v>SR-IN-03</x:v>
      </x:c>
      <x:c r="E4" s="3" t="str">
        <x:f>INDEX(Requirements!$C$2:$C$28,MATCH(A4,Requirements!$A$2:$A$28,0))</x:f>
        <x:v>High</x:v>
      </x:c>
      <x:c r="F4" s="3" t="str">
        <x:v>AC-FR-003-1; AC-FR-003-2</x:v>
      </x:c>
      <x:c r="G4" s="3" t="str">
        <x:v>ADR-M2-01; ADR-M2-03; ADR-M2-04; ADR-M2-05; ADR-M2-06; docs/decisions/README.md</x:v>
      </x:c>
      <x:c r="H4" s="3" t="str">
        <x:v>src/CivicConnect.Web/: RequestQueryService; RequestAccessPolicy; EfRequestReader; RequestStatusService. M2 PR12; M3 PR14; local Cameron integration/test commit fef0469.</x:v>
      </x:c>
      <x:c r="I4" s="3" t="str">
        <x:v>E01/E02/A04; S01/S03/H04/H05/H07; passed 2026-10-13 where mapped; docs/testing-m3.md.</x:v>
      </x:c>
      <x:c r="J4" s="3" t="str">
        <x:v>M2 consolidation 2026-09-30; requirement/AC unchanged; M3 2026-10-13: evidence evolved; requirement/AC unchanged; CR-M3-C01.</x:v>
      </x:c>
      <x:c r="K4" s="3" t="str">
        <x:v>Local review baseline; release NOT READY; docs/release-evidence.md.</x:v>
      </x:c>
      <x:c r="L4" s="3" t="str">
        <x:v>In Development</x:v>
      </x:c>
      <x:c r="M4" s="14" t="str">
        <x:v>Access isolation</x:v>
      </x:c>
      <x:c r="N4" s="14" t="str">
        <x:v>RequestsController; RequestQueryService</x:v>
      </x:c>
      <x:c r="O4" s="14" t="str">
        <x:v>Michael EF Core/PostgreSQL reader and persisted synthetic requests/notes; authorised application projection.</x:v>
      </x:c>
      <x:c r="P4" s="14" t="str">
        <x:v>ADR-M2-04: ASP.NET Core MVC/Razor; EF Core/Npgsql 8.0.11; PostgreSQL adapters/migrations implemented by Michael (PR14).</x:v>
      </x:c>
      <x:c r="Q4" s="14" t="str">
        <x:v>R-013; R-017</x:v>
      </x:c>
      <x:c r="R4" s="14" t="str">
        <x:f>INDEX(Requirements!$B$2:$B$28,MATCH(A4,Requirements!$A$2:$A$28,0))</x:f>
        <x:v>Allow requesters to view the current status of their own requests.</x:v>
      </x:c>
      <x:c r="S4" s="21" t="str">
        <x:v>Owner reads saved Closed status/time and permitted notes; foreign record returns 404.</x:v>
      </x:c>
      <x:c r="T4" s="21" t="str">
        <x:v>Full live account/UI acceptance pending. See docs/defects.md and technical-debt.md.</x:v>
      </x:c>
      <x:c r="U4" s="21" t="inlineStr">
        <x:is>
          <x:t>docs/testing-m3.md; docs/evidence/m3/personal-20261013-181846/ (integration.txt, regression.txt, database.txt; mapped IDs in column I).</x:t>
        </x:is>
      </x:c>
      <x:c r="V4" s="21" t="inlineStr">
        <x:is>
          <x:t>2026-10-13 18:18-18:19 SAST; Cameron Purdon 601963; f774bf8.</x:t>
        </x:is>
      </x:c>
    </x:row>
    <x:row r="5" ht="95" customHeight="1">
      <x:c r="A5" s="6" t="str">
        <x:v>FR-004</x:v>
      </x:c>
      <x:c r="B5" s="6" t="str">
        <x:v>View own request history</x:v>
      </x:c>
      <x:c r="C5" s="6" t="str">
        <x:v>Requester; PED §1.2, §2.1.1; MB §3 Requester</x:v>
      </x:c>
      <x:c r="D5" s="6" t="str">
        <x:v>SR-IN-04</x:v>
      </x:c>
      <x:c r="E5" s="6" t="str">
        <x:f>INDEX(Requirements!$C$2:$C$28,MATCH(A5,Requirements!$A$2:$A$28,0))</x:f>
        <x:v>Medium</x:v>
      </x:c>
      <x:c r="F5" s="6" t="str">
        <x:v>AC-FR-004-1; AC-FR-004-2</x:v>
      </x:c>
      <x:c r="G5" s="6" t="str">
        <x:v>ADR-M2-03; ADR-M2-04; ADR-M2-05; ADR-M2-06; docs/decisions/README.md</x:v>
      </x:c>
      <x:c r="H5" s="6" t="str">
        <x:v>Planned. Design source PR #10 (architecture) / #11 (data/technology); no application implementation for this row.</x:v>
      </x:c>
      <x:c r="I5" s="6" t="str">
        <x:v>List/history query not implemented</x:v>
      </x:c>
      <x:c r="J5" s="6" t="str">
        <x:v>M2 consolidation 2026-09-30; requirement/AC unchanged; M3 2026-10-13: evidence evolved; requirement/AC unchanged; CR-M3-C01.</x:v>
      </x:c>
      <x:c r="K5" s="6" t="str">
        <x:v>Local review baseline; release NOT READY; docs/release-evidence.md.</x:v>
      </x:c>
      <x:c r="L5" s="6" t="str">
        <x:v>Planned</x:v>
      </x:c>
      <x:c r="M5" s="15" t="str">
        <x:v>Access isolation</x:v>
      </x:c>
      <x:c r="N5" s="15" t="str">
        <x:v>Requester history query (planned)</x:v>
      </x:c>
      <x:c r="O5" s="15" t="str">
        <x:v>Requester-scoped ServiceRequest collection</x:v>
      </x:c>
      <x:c r="P5" s="15" t="str">
        <x:v>ADR-M2-04: ASP.NET Core MVC/Razor; EF Core/Npgsql 8.0.11; PostgreSQL adapters/migrations implemented by Michael (PR14).</x:v>
      </x:c>
      <x:c r="Q5" s="15" t="str">
        <x:v>R-013</x:v>
      </x:c>
      <x:c r="R5" s="15" t="str">
        <x:f>INDEX(Requirements!$B$2:$B$28,MATCH(A5,Requirements!$A$2:$A$28,0))</x:f>
        <x:v>Allow requesters to view their previous requests.</x:v>
      </x:c>
      <x:c r="S5" s="21" t="str">
        <x:v>Not executed for complete acceptance.</x:v>
      </x:c>
      <x:c r="T5" s="21" t="str">
        <x:v>Own request history/list workflow absent.</x:v>
      </x:c>
      <x:c r="U5" s="21" t="str">
        <x:v>No complete M3 execution evidence; see docs/release-evidence.md.</x:v>
      </x:c>
      <x:c r="V5" s="21" t="str">
        <x:v>2026-10-13 evidence review.</x:v>
      </x:c>
    </x:row>
    <x:row r="6" ht="95" customHeight="1">
      <x:c r="A6" s="3" t="str">
        <x:v>FR-005</x:v>
      </x:c>
      <x:c r="B6" s="3" t="str">
        <x:v>Requester feedback</x:v>
      </x:c>
      <x:c r="C6" s="3" t="str">
        <x:v>Requester; PED §2.1.1; §5.2 concern 5; MB §3 Requester</x:v>
      </x:c>
      <x:c r="D6" s="3" t="str">
        <x:v>SR-IN-05</x:v>
      </x:c>
      <x:c r="E6" s="3" t="str">
        <x:f>INDEX(Requirements!$C$2:$C$28,MATCH(A6,Requirements!$A$2:$A$28,0))</x:f>
        <x:v>Medium</x:v>
      </x:c>
      <x:c r="F6" s="3" t="str">
        <x:v>AC-FR-005-1; AC-FR-005-2</x:v>
      </x:c>
      <x:c r="G6" s="3" t="str">
        <x:v>ADR-M2-02; ADR-M2-03; ADR-M2-04; ADR-M2-06; docs/decisions/README.md</x:v>
      </x:c>
      <x:c r="H6" s="3" t="str">
        <x:v>src/CivicConnect.Web/: RequestStatusService; EfRequestStatusWriter; EfRequestReader. M2 PR12; M3 PR14; local Cameron integration/test commit fef0469.</x:v>
      </x:c>
      <x:c r="I6" s="3" t="str">
        <x:v>E01/E02; passed 2026-10-13 where mapped; docs/testing-m3.md.</x:v>
      </x:c>
      <x:c r="J6" s="3" t="str">
        <x:v>M2 consolidation 2026-09-30; requirement/AC unchanged; M3 2026-10-13: evidence evolved; requirement/AC unchanged; CR-M3-C01.</x:v>
      </x:c>
      <x:c r="K6" s="3" t="str">
        <x:v>Local review baseline; release NOT READY; docs/release-evidence.md.</x:v>
      </x:c>
      <x:c r="L6" s="3" t="str">
        <x:v>In Development</x:v>
      </x:c>
      <x:c r="M6" s="14" t="str">
        <x:v>Integrity; access isolation</x:v>
      </x:c>
      <x:c r="N6" s="14" t="str">
        <x:v>Future change coordinator and feedback query</x:v>
      </x:c>
      <x:c r="O6" s="14" t="str">
        <x:v>PostgreSQL status/history/public-note transaction and optimistic version; broader schema/acceptance gaps remain.</x:v>
      </x:c>
      <x:c r="P6" s="14" t="str">
        <x:v>ADR-M2-04: ASP.NET Core MVC/Razor; EF Core/Npgsql 8.0.11; PostgreSQL adapters/migrations implemented by Michael (PR14).</x:v>
      </x:c>
      <x:c r="Q6" s="14" t="str">
        <x:v>R-027; R-028</x:v>
      </x:c>
      <x:c r="R6" s="14" t="str">
        <x:f>INDEX(Requirements!$B$2:$B$28,MATCH(A6,Requirements!$A$2:$A$28,0))</x:f>
        <x:v>Provide requester feedback when a request is accepted, rejected, updated or completed.</x:v>
      </x:c>
      <x:c r="S6" s="21" t="str">
        <x:v>Status changes create persistent public feedback; rejection has a reason.</x:v>
      </x:c>
      <x:c r="T6" s="21" t="str">
        <x:v>Event/date presentation and full feedback scope pending. See docs/defects.md and technical-debt.md.</x:v>
      </x:c>
      <x:c r="U6" s="21" t="inlineStr">
        <x:is>
          <x:t>docs/testing-m3.md; docs/evidence/m3/personal-20261013-181846/ (integration.txt, regression.txt, database.txt; mapped IDs in column I).</x:t>
        </x:is>
      </x:c>
      <x:c r="V6" s="21" t="inlineStr">
        <x:is>
          <x:t>2026-10-13 18:18-18:19 SAST; Cameron Purdon 601963; f774bf8.</x:t>
        </x:is>
      </x:c>
    </x:row>
    <x:row r="7" ht="95" customHeight="1">
      <x:c r="A7" s="6" t="str">
        <x:v>FR-006</x:v>
      </x:c>
      <x:c r="B7" s="6" t="str">
        <x:v>Authorised staff request list</x:v>
      </x:c>
      <x:c r="C7" s="6" t="str">
        <x:v>Staff; PED §1.2, §2.1.1, §2.2.3; MB §3 Staff</x:v>
      </x:c>
      <x:c r="D7" s="6" t="str">
        <x:v>SR-IN-06</x:v>
      </x:c>
      <x:c r="E7" s="6" t="str">
        <x:f>INDEX(Requirements!$C$2:$C$28,MATCH(A7,Requirements!$A$2:$A$28,0))</x:f>
        <x:v>High</x:v>
      </x:c>
      <x:c r="F7" s="6" t="str">
        <x:v>AC-FR-006-1; AC-FR-006-2</x:v>
      </x:c>
      <x:c r="G7" s="6" t="str">
        <x:v>ADR-M2-03; ADR-M2-04; ADR-M2-05; ADR-M2-06; docs/decisions/README.md</x:v>
      </x:c>
      <x:c r="H7" s="6" t="str">
        <x:v>src/CivicConnect.Web/: RequestAccessPolicy; request detail boundary only. M2 PR12; M3 PR14; local Cameron integration/test commit fef0469.</x:v>
      </x:c>
      <x:c r="I7" s="6" t="str">
        <x:v>S05/H09/BB05; passed 2026-10-13 where mapped; docs/testing-m3.md.</x:v>
      </x:c>
      <x:c r="J7" s="6" t="str">
        <x:v>M2 consolidation 2026-09-30; requirement/AC unchanged; M3 2026-10-13: evidence evolved; requirement/AC unchanged; CR-M3-C01.</x:v>
      </x:c>
      <x:c r="K7" s="6" t="str">
        <x:v>Local review baseline; release NOT READY; docs/release-evidence.md.</x:v>
      </x:c>
      <x:c r="L7" s="6" t="str">
        <x:v>In Development</x:v>
      </x:c>
      <x:c r="M7" s="15" t="str">
        <x:v>Access isolation</x:v>
      </x:c>
      <x:c r="N7" s="15" t="str">
        <x:v>Staff list query (planned)</x:v>
      </x:c>
      <x:c r="O7" s="15" t="str">
        <x:v>Category permission filter before counts/pagination</x:v>
      </x:c>
      <x:c r="P7" s="15" t="str">
        <x:v>ADR-M2-04: ASP.NET Core MVC/Razor; EF Core/Npgsql 8.0.11; PostgreSQL adapters/migrations implemented by Michael (PR14).</x:v>
      </x:c>
      <x:c r="Q7" s="15" t="str">
        <x:v>R-013; R-032</x:v>
      </x:c>
      <x:c r="R7" s="15" t="str">
        <x:f>INDEX(Requirements!$B$2:$B$28,MATCH(A7,Requirements!$A$2:$A$28,0))</x:f>
        <x:v>Allow staff to view requests permitted by their role and assigned categories.</x:v>
      </x:c>
      <x:c r="S7" s="21" t="str">
        <x:v>Outside-category detail/mutation denied.</x:v>
      </x:c>
      <x:c r="T7" s="21" t="str">
        <x:v>Authorised staff list absent. See docs/defects.md and technical-debt.md.</x:v>
      </x:c>
      <x:c r="U7" s="21" t="inlineStr">
        <x:is>
          <x:t>docs/testing-m3.md; docs/evidence/m3/personal-20261013-181846/ (integration.txt, regression.txt, database.txt; mapped IDs in column I).</x:t>
        </x:is>
      </x:c>
      <x:c r="V7" s="21" t="inlineStr">
        <x:is>
          <x:t>2026-10-13 18:18-18:19 SAST; Cameron Purdon 601963; f774bf8.</x:t>
        </x:is>
      </x:c>
    </x:row>
    <x:row r="8" ht="95" customHeight="1">
      <x:c r="A8" s="3" t="str">
        <x:v>FR-007</x:v>
      </x:c>
      <x:c r="B8" s="3" t="str">
        <x:v>Search, filter and sort</x:v>
      </x:c>
      <x:c r="C8" s="3" t="str">
        <x:v>Staff; PED §2.1.1; MB §3 Staff</x:v>
      </x:c>
      <x:c r="D8" s="3" t="str">
        <x:v>SR-IN-07</x:v>
      </x:c>
      <x:c r="E8" s="3" t="str">
        <x:f>INDEX(Requirements!$C$2:$C$28,MATCH(A8,Requirements!$A$2:$A$28,0))</x:f>
        <x:v>Medium</x:v>
      </x:c>
      <x:c r="F8" s="3" t="str">
        <x:v>AC-FR-007-1; AC-FR-007-2</x:v>
      </x:c>
      <x:c r="G8" s="3" t="str">
        <x:v>ADR-M2-03; ADR-M2-04; ADR-M2-05; ADR-M2-06; docs/decisions/README.md</x:v>
      </x:c>
      <x:c r="H8" s="3" t="str">
        <x:v>Planned. Design source PR #10 (architecture) / #11 (data/technology); no application implementation for this row.</x:v>
      </x:c>
      <x:c r="I8" s="3" t="str">
        <x:v>No search, sorting or load evidence</x:v>
      </x:c>
      <x:c r="J8" s="3" t="str">
        <x:v>M2 consolidation 2026-09-30; requirement/AC unchanged; M3 2026-10-13: evidence evolved; requirement/AC unchanged; CR-M3-C01.</x:v>
      </x:c>
      <x:c r="K8" s="3" t="str">
        <x:v>Local review baseline; release NOT READY; docs/release-evidence.md.</x:v>
      </x:c>
      <x:c r="L8" s="3" t="str">
        <x:v>Planned</x:v>
      </x:c>
      <x:c r="M8" s="14" t="str">
        <x:v>Pilot performance; access isolation</x:v>
      </x:c>
      <x:c r="N8" s="14" t="str">
        <x:v>Search/filter query (planned)</x:v>
      </x:c>
      <x:c r="O8" s="14" t="str">
        <x:v>Permission-constrained sort/filter/index strategy</x:v>
      </x:c>
      <x:c r="P8" s="14" t="str">
        <x:v>ADR-M2-04: ASP.NET Core MVC/Razor; EF Core/Npgsql 8.0.11; PostgreSQL adapters/migrations implemented by Michael (PR14).</x:v>
      </x:c>
      <x:c r="Q8" s="14" t="str">
        <x:v>R-016; R-022</x:v>
      </x:c>
      <x:c r="R8" s="14" t="str">
        <x:f>INDEX(Requirements!$B$2:$B$28,MATCH(A8,Requirements!$A$2:$A$28,0))</x:f>
        <x:v>Allow staff to search requests and filter by status, category, date and priority, and sort by date or priority.</x:v>
      </x:c>
      <x:c r="S8" s="21" t="str">
        <x:v>Not executed for complete acceptance.</x:v>
      </x:c>
      <x:c r="T8" s="21" t="str">
        <x:v>Search/filter/sort workflow absent.</x:v>
      </x:c>
      <x:c r="U8" s="21" t="str">
        <x:v>No complete M3 execution evidence; see docs/release-evidence.md.</x:v>
      </x:c>
      <x:c r="V8" s="21" t="str">
        <x:v>2026-10-13 evidence review.</x:v>
      </x:c>
    </x:row>
    <x:row r="9" ht="95" customHeight="1">
      <x:c r="A9" s="6" t="str">
        <x:v>FR-008</x:v>
      </x:c>
      <x:c r="B9" s="6" t="str">
        <x:v>Full request details</x:v>
      </x:c>
      <x:c r="C9" s="6" t="str">
        <x:v>Staff; PED §2.1.1; MB §3 Staff</x:v>
      </x:c>
      <x:c r="D9" s="6" t="str">
        <x:v>SR-IN-08</x:v>
      </x:c>
      <x:c r="E9" s="6" t="str">
        <x:f>INDEX(Requirements!$C$2:$C$28,MATCH(A9,Requirements!$A$2:$A$28,0))</x:f>
        <x:v>High</x:v>
      </x:c>
      <x:c r="F9" s="6" t="str">
        <x:v>AC-FR-008-1; AC-FR-008-2</x:v>
      </x:c>
      <x:c r="G9" s="6" t="str">
        <x:v>ADR-M2-01; ADR-M2-03; ADR-M2-04; ADR-M2-05; ADR-M2-06; docs/decisions/README.md</x:v>
      </x:c>
      <x:c r="H9" s="6" t="str">
        <x:v>src/CivicConnect.Web/: RequestQueryService; RequestAccessPolicy; EfRequestReader. M2 PR12; M3 PR14; local Cameron integration/test commit fef0469.</x:v>
      </x:c>
      <x:c r="I9" s="6" t="str">
        <x:v>S04/S05/H08/H09; database checks; passed 2026-10-13 where mapped; docs/testing-m3.md.</x:v>
      </x:c>
      <x:c r="J9" s="6" t="str">
        <x:v>M2 consolidation 2026-09-30; requirement/AC unchanged; M3 2026-10-13: evidence evolved; requirement/AC unchanged; CR-M3-C01.</x:v>
      </x:c>
      <x:c r="K9" s="6" t="str">
        <x:v>Local review baseline; release NOT READY; docs/release-evidence.md.</x:v>
      </x:c>
      <x:c r="L9" s="6" t="str">
        <x:v>In Development</x:v>
      </x:c>
      <x:c r="M9" s="15" t="str">
        <x:v>Access isolation</x:v>
      </x:c>
      <x:c r="N9" s="15" t="str">
        <x:v>RequestsController; RequestQueryService</x:v>
      </x:c>
      <x:c r="O9" s="15" t="str">
        <x:v>Michael EF Core/PostgreSQL reader and persisted synthetic requests/notes; authorised application projection.</x:v>
      </x:c>
      <x:c r="P9" s="15" t="str">
        <x:v>ADR-M2-04: ASP.NET Core MVC/Razor; EF Core/Npgsql 8.0.11; PostgreSQL adapters/migrations implemented by Michael (PR14).</x:v>
      </x:c>
      <x:c r="Q9" s="15" t="str">
        <x:v>R-013; R-017</x:v>
      </x:c>
      <x:c r="R9" s="15" t="str">
        <x:f>INDEX(Requirements!$B$2:$B$28,MATCH(A9,Requirements!$A$2:$A$28,0))</x:f>
        <x:v>Allow authorised staff to view full request details.</x:v>
      </x:c>
      <x:c r="S9" s="21" t="str">
        <x:v>Permitted staff sees internal notes; wrong category denied.</x:v>
      </x:c>
      <x:c r="T9" s="21" t="str">
        <x:v>Full details omit owner/priority/due-date/requester; AC1 incomplete. See docs/defects.md and technical-debt.md.</x:v>
      </x:c>
      <x:c r="U9" s="21" t="inlineStr">
        <x:is>
          <x:t>docs/testing-m3.md; docs/evidence/m3/personal-20261013-181846/ (integration.txt, regression.txt, database.txt; mapped IDs in column I).</x:t>
        </x:is>
      </x:c>
      <x:c r="V9" s="21" t="inlineStr">
        <x:is>
          <x:t>2026-10-13 18:18-18:19 SAST; Cameron Purdon 601963; f774bf8.</x:t>
        </x:is>
      </x:c>
    </x:row>
    <x:row r="10" ht="95" customHeight="1">
      <x:c r="A10" s="3" t="str">
        <x:v>FR-009</x:v>
      </x:c>
      <x:c r="B10" s="3" t="str">
        <x:v>Assign or accept ownership</x:v>
      </x:c>
      <x:c r="C10" s="3" t="str">
        <x:v>Staff; PED §2.1.1; MB §3 Staff</x:v>
      </x:c>
      <x:c r="D10" s="3" t="str">
        <x:v>SR-IN-09</x:v>
      </x:c>
      <x:c r="E10" s="3" t="str">
        <x:f>INDEX(Requirements!$C$2:$C$28,MATCH(A10,Requirements!$A$2:$A$28,0))</x:f>
        <x:v>High</x:v>
      </x:c>
      <x:c r="F10" s="3" t="str">
        <x:v>AC-FR-009-1; AC-FR-009-2</x:v>
      </x:c>
      <x:c r="G10" s="3" t="str">
        <x:v>ADR-M2-02; ADR-M2-03; ADR-M2-04; ADR-M2-05; ADR-M2-06; docs/decisions/README.md</x:v>
      </x:c>
      <x:c r="H10" s="3" t="str">
        <x:v>Planned. Design source PR #10 (architecture) / #11 (data/technology); no application implementation for this row.</x:v>
      </x:c>
      <x:c r="I10" s="3" t="str">
        <x:v>Database concurrency mechanism and simultaneous-claim test pending</x:v>
      </x:c>
      <x:c r="J10" s="3" t="str">
        <x:v>M2 consolidation 2026-09-30; requirement/AC unchanged; M3 2026-10-13: evidence evolved; requirement/AC unchanged; CR-M3-C01.</x:v>
      </x:c>
      <x:c r="K10" s="3" t="str">
        <x:v>Local review baseline; release NOT READY; docs/release-evidence.md.</x:v>
      </x:c>
      <x:c r="L10" s="3" t="str">
        <x:v>Planned</x:v>
      </x:c>
      <x:c r="M10" s="14" t="str">
        <x:v>Integrity</x:v>
      </x:c>
      <x:c r="N10" s="14" t="str">
        <x:v>Assignment service (planned)</x:v>
      </x:c>
      <x:c r="O10" s="14" t="str">
        <x:v>Conditional atomic owner update plus RequestHistory</x:v>
      </x:c>
      <x:c r="P10" s="14" t="str">
        <x:v>ADR-M2-04: ASP.NET Core MVC/Razor; EF Core/Npgsql 8.0.11; PostgreSQL adapters/migrations implemented by Michael (PR14).</x:v>
      </x:c>
      <x:c r="Q10" s="14" t="str">
        <x:v>R-015</x:v>
      </x:c>
      <x:c r="R10" s="14" t="str">
        <x:f>INDEX(Requirements!$B$2:$B$28,MATCH(A10,Requirements!$A$2:$A$28,0))</x:f>
        <x:v>Allow authorised staff to assign a request or accept responsibility for it.</x:v>
      </x:c>
      <x:c r="S10" s="21" t="str">
        <x:v>Not executed for complete acceptance.</x:v>
      </x:c>
      <x:c r="T10" s="21" t="str">
        <x:v>Eligible owner assignment/concurrent claiming absent; Assigned status is not owner assignment.</x:v>
      </x:c>
      <x:c r="U10" s="21" t="str">
        <x:v>No complete M3 execution evidence; see docs/release-evidence.md.</x:v>
      </x:c>
      <x:c r="V10" s="21" t="str">
        <x:v>2026-10-13 evidence review.</x:v>
      </x:c>
    </x:row>
    <x:row r="11" ht="95" customHeight="1">
      <x:c r="A11" s="6" t="str">
        <x:v>FR-010</x:v>
      </x:c>
      <x:c r="B11" s="6" t="str">
        <x:v>Controlled status transitions</x:v>
      </x:c>
      <x:c r="C11" s="6" t="str">
        <x:v>Staff; PED §2.1.1; MB §3 Staff</x:v>
      </x:c>
      <x:c r="D11" s="6" t="str">
        <x:v>SR-IN-10</x:v>
      </x:c>
      <x:c r="E11" s="6" t="str">
        <x:f>INDEX(Requirements!$C$2:$C$28,MATCH(A11,Requirements!$A$2:$A$28,0))</x:f>
        <x:v>High</x:v>
      </x:c>
      <x:c r="F11" s="6" t="str">
        <x:v>AC-FR-010-1; AC-FR-010-2</x:v>
      </x:c>
      <x:c r="G11" s="6" t="str">
        <x:v>ADR-M2-02; ADR-M2-03; ADR-M2-04; ADR-M2-05; ADR-M2-06; docs/decisions/README.md</x:v>
      </x:c>
      <x:c r="H11" s="6" t="str">
        <x:v>src/CivicConnect.Web/: StatusTransitionService; RequestStatusService; EfRequestStatusWriter. M2 PR12; M3 PR14; local Cameron integration/test commit fef0469.</x:v>
      </x:c>
      <x:c r="I11" s="6" t="str">
        <x:v>C01-C06; BB05; A03/A05/A06; E01/E02; passed 2026-10-13 where mapped; docs/testing-m3.md.</x:v>
      </x:c>
      <x:c r="J11" s="6" t="str">
        <x:v>M2 consolidation 2026-09-30; requirement/AC unchanged; M3 2026-10-13: evidence evolved; requirement/AC unchanged; CR-M3-C01.</x:v>
      </x:c>
      <x:c r="K11" s="6" t="str">
        <x:v>Local review baseline; release NOT READY; docs/release-evidence.md.</x:v>
      </x:c>
      <x:c r="L11" s="6" t="str">
        <x:v>In Development</x:v>
      </x:c>
      <x:c r="M11" s="15" t="str">
        <x:v>Integrity; testability</x:v>
      </x:c>
      <x:c r="N11" s="15" t="str">
        <x:v>StatusTransitionService and State objects (planned)</x:v>
      </x:c>
      <x:c r="O11" s="15" t="str">
        <x:v>PostgreSQL status/history/public-note transaction and optimistic version; broader schema/acceptance gaps remain.</x:v>
      </x:c>
      <x:c r="P11" s="15" t="str">
        <x:v>ADR-M2-04: ASP.NET Core MVC/Razor; EF Core/Npgsql 8.0.11; PostgreSQL adapters/migrations implemented by Michael (PR14).</x:v>
      </x:c>
      <x:c r="Q11" s="15" t="str">
        <x:v>R-011; R-027</x:v>
      </x:c>
      <x:c r="R11" s="15" t="str">
        <x:f>INDEX(Requirements!$B$2:$B$28,MATCH(A11,Requirements!$A$2:$A$28,0))</x:f>
        <x:v>Allow request status changes only through the agreed lifecycle.</x:v>
      </x:c>
      <x:c r="S11" s="21" t="str">
        <x:v>Legal lifecycle saved with actor/time/history; invalid/unauthorised/stale changes rejected.</x:v>
      </x:c>
      <x:c r="T11" s="21" t="str">
        <x:v>Peer review/live identity and simultaneous HTTP/audit check pending. See docs/defects.md and technical-debt.md.</x:v>
      </x:c>
      <x:c r="U11" s="21" t="inlineStr">
        <x:is>
          <x:t>docs/testing-m3.md; docs/evidence/m3/personal-20261013-181846/ (integration.txt, regression.txt, database.txt; mapped IDs in column I).</x:t>
        </x:is>
      </x:c>
      <x:c r="V11" s="21" t="inlineStr">
        <x:is>
          <x:t>2026-10-13 18:18-18:19 SAST; Cameron Purdon 601963; f774bf8.</x:t>
        </x:is>
      </x:c>
    </x:row>
    <x:row r="12" ht="95" customHeight="1">
      <x:c r="A12" s="3" t="str">
        <x:v>FR-011</x:v>
      </x:c>
      <x:c r="B12" s="3" t="str">
        <x:v>Record actions and notes</x:v>
      </x:c>
      <x:c r="C12" s="3" t="str">
        <x:v>Staff; PED §2.1.1; MB §3 Staff</x:v>
      </x:c>
      <x:c r="D12" s="3" t="str">
        <x:v>SR-IN-11</x:v>
      </x:c>
      <x:c r="E12" s="3" t="str">
        <x:f>INDEX(Requirements!$C$2:$C$28,MATCH(A12,Requirements!$A$2:$A$28,0))</x:f>
        <x:v>High</x:v>
      </x:c>
      <x:c r="F12" s="3" t="str">
        <x:v>AC-FR-011-1; AC-FR-011-2</x:v>
      </x:c>
      <x:c r="G12" s="3" t="str">
        <x:v>ADR-M2-03; ADR-M2-04; ADR-M2-05; ADR-M2-06; docs/decisions/README.md</x:v>
      </x:c>
      <x:c r="H12" s="3" t="str">
        <x:v>src/CivicConnect.Web/: DTO note filtering; EfRequestStatusWriter public feedback. M2 PR12; M3 PR14; local Cameron integration/test commit fef0469.</x:v>
      </x:c>
      <x:c r="I12" s="3" t="str">
        <x:v>S02/H05; BB03/BB04; E01/E02; passed 2026-10-13 where mapped; docs/testing-m3.md.</x:v>
      </x:c>
      <x:c r="J12" s="3" t="str">
        <x:v>M2 consolidation 2026-09-30; requirement/AC unchanged; M3 2026-10-13: evidence evolved; requirement/AC unchanged; CR-M3-C01.</x:v>
      </x:c>
      <x:c r="K12" s="3" t="str">
        <x:v>Local review baseline; release NOT READY; docs/release-evidence.md.</x:v>
      </x:c>
      <x:c r="L12" s="3" t="str">
        <x:v>In Development</x:v>
      </x:c>
      <x:c r="M12" s="14" t="str">
        <x:v>Access isolation; integrity</x:v>
      </x:c>
      <x:c r="N12" s="14" t="str">
        <x:v>RequestQueryService note projection; note writing planned</x:v>
      </x:c>
      <x:c r="O12" s="14" t="str">
        <x:v>PostgreSQL status/history/public-note transaction and optimistic version; broader schema/acceptance gaps remain.</x:v>
      </x:c>
      <x:c r="P12" s="14" t="str">
        <x:v>ADR-M2-04: ASP.NET Core MVC/Razor; EF Core/Npgsql 8.0.11; PostgreSQL adapters/migrations implemented by Michael (PR14).</x:v>
      </x:c>
      <x:c r="Q12" s="14" t="str">
        <x:v>R-017</x:v>
      </x:c>
      <x:c r="R12" s="14" t="str">
        <x:f>INDEX(Requirements!$B$2:$B$28,MATCH(A12,Requirements!$A$2:$A$28,0))</x:f>
        <x:v>Allow staff to record comments, actions and resolution notes against a request.</x:v>
      </x:c>
      <x:c r="S12" s="21" t="str">
        <x:v>Internal notes excluded from owner response; invalid feedback produces no writes.</x:v>
      </x:c>
      <x:c r="T12" s="21" t="str">
        <x:v>General note author/time/correction workflow absent. See docs/defects.md and technical-debt.md.</x:v>
      </x:c>
      <x:c r="U12" s="21" t="inlineStr">
        <x:is>
          <x:t>docs/testing-m3.md; docs/evidence/m3/personal-20261013-181846/ (integration.txt, regression.txt, database.txt; mapped IDs in column I).</x:t>
        </x:is>
      </x:c>
      <x:c r="V12" s="21" t="inlineStr">
        <x:is>
          <x:t>2026-10-13 18:18-18:19 SAST; Cameron Purdon 601963; f774bf8.</x:t>
        </x:is>
      </x:c>
    </x:row>
    <x:row r="13" ht="95" customHeight="1">
      <x:c r="A13" s="6" t="str">
        <x:v>FR-012</x:v>
      </x:c>
      <x:c r="B13" s="6" t="str">
        <x:v>Resolve and close requests</x:v>
      </x:c>
      <x:c r="C13" s="6" t="str">
        <x:v>Staff; PED §2.1.1; MB §3 Staff</x:v>
      </x:c>
      <x:c r="D13" s="6" t="str">
        <x:v>SR-IN-12</x:v>
      </x:c>
      <x:c r="E13" s="6" t="str">
        <x:f>INDEX(Requirements!$C$2:$C$28,MATCH(A13,Requirements!$A$2:$A$28,0))</x:f>
        <x:v>High</x:v>
      </x:c>
      <x:c r="F13" s="6" t="str">
        <x:v>AC-FR-012-1; AC-FR-012-2</x:v>
      </x:c>
      <x:c r="G13" s="6" t="str">
        <x:v>ADR-M2-02; ADR-M2-03; ADR-M2-04; ADR-M2-05; ADR-M2-06; docs/decisions/README.md</x:v>
      </x:c>
      <x:c r="H13" s="6" t="str">
        <x:v>src/CivicConnect.Web/: StatusTransitionService; RequestStatusService; status POST. M2 PR12; M3 PR14; local Cameron integration/test commit fef0469.</x:v>
      </x:c>
      <x:c r="I13" s="6" t="str">
        <x:v>E01/E02; C01/C02; passed 2026-10-13 where mapped; docs/testing-m3.md.</x:v>
      </x:c>
      <x:c r="J13" s="6" t="str">
        <x:v>M2 consolidation 2026-09-30; requirement/AC unchanged; M3 2026-10-13: evidence evolved; requirement/AC unchanged; CR-M3-C01.</x:v>
      </x:c>
      <x:c r="K13" s="6" t="str">
        <x:v>Local review baseline; release NOT READY; docs/release-evidence.md.</x:v>
      </x:c>
      <x:c r="L13" s="6" t="str">
        <x:v>In Development</x:v>
      </x:c>
      <x:c r="M13" s="15" t="str">
        <x:v>Integrity; access isolation</x:v>
      </x:c>
      <x:c r="N13" s="15" t="str">
        <x:v>Resolution/closure use case (planned)</x:v>
      </x:c>
      <x:c r="O13" s="15" t="str">
        <x:v>PostgreSQL status/history/public-note transaction and optimistic version; broader schema/acceptance gaps remain.</x:v>
      </x:c>
      <x:c r="P13" s="15" t="str">
        <x:v>ADR-M2-04: ASP.NET Core MVC/Razor; EF Core/Npgsql 8.0.11; PostgreSQL adapters/migrations implemented by Michael (PR14).</x:v>
      </x:c>
      <x:c r="Q13" s="15" t="str">
        <x:v>R-011; R-027</x:v>
      </x:c>
      <x:c r="R13" s="15" t="str">
        <x:f>INDEX(Requirements!$B$2:$B$28,MATCH(A13,Requirements!$A$2:$A$28,0))</x:f>
        <x:v>Allow authorised staff to resolve and close requests.</x:v>
      </x:c>
      <x:c r="S13" s="21" t="str">
        <x:v>Staff resolves with summary then closes; terminal reopen denied.</x:v>
      </x:c>
      <x:c r="T13" s="21" t="str">
        <x:v>Broader live account/permission acceptance pending. See docs/defects.md and technical-debt.md.</x:v>
      </x:c>
      <x:c r="U13" s="21" t="inlineStr">
        <x:is>
          <x:t>docs/testing-m3.md; docs/evidence/m3/personal-20261013-181846/ (integration.txt, regression.txt, database.txt; mapped IDs in column I).</x:t>
        </x:is>
      </x:c>
      <x:c r="V13" s="21" t="inlineStr">
        <x:is>
          <x:t>2026-10-13 18:18-18:19 SAST; Cameron Purdon 601963; f774bf8.</x:t>
        </x:is>
      </x:c>
    </x:row>
    <x:row r="14" ht="95" customHeight="1">
      <x:c r="A14" s="3" t="str">
        <x:v>FR-013</x:v>
      </x:c>
      <x:c r="B14" s="3" t="str">
        <x:v>Service activity summary</x:v>
      </x:c>
      <x:c r="C14" s="3" t="str">
        <x:v>Management; PED §1.2, §2.1.1; MB §3 Management</x:v>
      </x:c>
      <x:c r="D14" s="3" t="str">
        <x:v>SR-IN-13</x:v>
      </x:c>
      <x:c r="E14" s="3" t="str">
        <x:f>INDEX(Requirements!$C$2:$C$28,MATCH(A14,Requirements!$A$2:$A$28,0))</x:f>
        <x:v>Medium</x:v>
      </x:c>
      <x:c r="F14" s="3" t="str">
        <x:v>AC-FR-013-1; AC-FR-013-2</x:v>
      </x:c>
      <x:c r="G14" s="3" t="str">
        <x:v>ADR-M2-03; ADR-M2-04; ADR-M2-05; ADR-M2-06; docs/decisions/README.md</x:v>
      </x:c>
      <x:c r="H14" s="3" t="str">
        <x:v>Planned. Design source PR #10 (architecture) / #11 (data/technology); no application implementation for this row.</x:v>
      </x:c>
      <x:c r="I14" s="3" t="str">
        <x:v>No report implementation</x:v>
      </x:c>
      <x:c r="J14" s="3" t="str">
        <x:v>M2 consolidation 2026-09-30; requirement/AC unchanged; M3 2026-10-13: evidence evolved; requirement/AC unchanged; CR-M3-C01.</x:v>
      </x:c>
      <x:c r="K14" s="3" t="str">
        <x:v>Local review baseline; release NOT READY; docs/release-evidence.md.</x:v>
      </x:c>
      <x:c r="L14" s="3" t="str">
        <x:v>Planned</x:v>
      </x:c>
      <x:c r="M14" s="14" t="str">
        <x:v>Pilot performance; access isolation</x:v>
      </x:c>
      <x:c r="N14" s="14" t="str">
        <x:v>Management reporting (planned)</x:v>
      </x:c>
      <x:c r="O14" s="14" t="str">
        <x:v>Aggregate status/open/overdue queries</x:v>
      </x:c>
      <x:c r="P14" s="14" t="str">
        <x:v>ADR-M2-04: ASP.NET Core MVC/Razor; EF Core/Npgsql 8.0.11; PostgreSQL adapters/migrations implemented by Michael (PR14).</x:v>
      </x:c>
      <x:c r="Q14" s="14" t="str">
        <x:v>R-014; R-016</x:v>
      </x:c>
      <x:c r="R14" s="14" t="str">
        <x:f>INDEX(Requirements!$B$2:$B$28,MATCH(A14,Requirements!$A$2:$A$28,0))</x:f>
        <x:v>Allow management to view counts of open, overdue, resolved and closed requests.</x:v>
      </x:c>
      <x:c r="S14" s="21" t="str">
        <x:v>Not executed for complete acceptance.</x:v>
      </x:c>
      <x:c r="T14" s="21" t="str">
        <x:v>Management service counts absent.</x:v>
      </x:c>
      <x:c r="U14" s="21" t="str">
        <x:v>No complete M3 execution evidence; see docs/release-evidence.md.</x:v>
      </x:c>
      <x:c r="V14" s="21" t="str">
        <x:v>2026-10-13 evidence review.</x:v>
      </x:c>
    </x:row>
    <x:row r="15" ht="95" customHeight="1">
      <x:c r="A15" s="6" t="str">
        <x:v>FR-014</x:v>
      </x:c>
      <x:c r="B15" s="6" t="str">
        <x:v>Management category/status analysis</x:v>
      </x:c>
      <x:c r="C15" s="6" t="str">
        <x:v>Management; PED §2.1.1; MB §3 Management</x:v>
      </x:c>
      <x:c r="D15" s="6" t="str">
        <x:v>SR-IN-14</x:v>
      </x:c>
      <x:c r="E15" s="6" t="str">
        <x:f>INDEX(Requirements!$C$2:$C$28,MATCH(A15,Requirements!$A$2:$A$28,0))</x:f>
        <x:v>Medium</x:v>
      </x:c>
      <x:c r="F15" s="6" t="str">
        <x:v>AC-FR-014-1; AC-FR-014-2</x:v>
      </x:c>
      <x:c r="G15" s="6" t="str">
        <x:v>ADR-M2-03; ADR-M2-04; ADR-M2-05; ADR-M2-06; docs/decisions/README.md</x:v>
      </x:c>
      <x:c r="H15" s="6" t="str">
        <x:v>Planned. Design source PR #10 (architecture) / #11 (data/technology); no application implementation for this row.</x:v>
      </x:c>
      <x:c r="I15" s="6" t="str">
        <x:v>No grouping report implementation</x:v>
      </x:c>
      <x:c r="J15" s="6" t="str">
        <x:v>M2 consolidation 2026-09-30; requirement/AC unchanged; M3 2026-10-13: evidence evolved; requirement/AC unchanged; CR-M3-C01.</x:v>
      </x:c>
      <x:c r="K15" s="6" t="str">
        <x:v>Local review baseline; release NOT READY; docs/release-evidence.md.</x:v>
      </x:c>
      <x:c r="L15" s="6" t="str">
        <x:v>Planned</x:v>
      </x:c>
      <x:c r="M15" s="15" t="str">
        <x:v>Pilot performance; access isolation</x:v>
      </x:c>
      <x:c r="N15" s="15" t="str">
        <x:v>Management category/status report (planned)</x:v>
      </x:c>
      <x:c r="O15" s="15" t="str">
        <x:v>Aggregate Category/ServiceRequest grouping</x:v>
      </x:c>
      <x:c r="P15" s="15" t="str">
        <x:v>ADR-M2-04: ASP.NET Core MVC/Razor; EF Core/Npgsql 8.0.11; PostgreSQL adapters/migrations implemented by Michael (PR14).</x:v>
      </x:c>
      <x:c r="Q15" s="15" t="str">
        <x:v>R-014; R-016</x:v>
      </x:c>
      <x:c r="R15" s="15" t="str">
        <x:f>INDEX(Requirements!$B$2:$B$28,MATCH(A15,Requirements!$A$2:$A$28,0))</x:f>
        <x:v>Allow management to view requests and counts by category and status.</x:v>
      </x:c>
      <x:c r="S15" s="21" t="str">
        <x:v>Not executed for complete acceptance.</x:v>
      </x:c>
      <x:c r="T15" s="21" t="str">
        <x:v>Management category/status analysis absent.</x:v>
      </x:c>
      <x:c r="U15" s="21" t="str">
        <x:v>No complete M3 execution evidence; see docs/release-evidence.md.</x:v>
      </x:c>
      <x:c r="V15" s="21" t="str">
        <x:v>2026-10-13 evidence review.</x:v>
      </x:c>
    </x:row>
    <x:row r="16" ht="95" customHeight="1">
      <x:c r="A16" s="3" t="str">
        <x:v>FR-015</x:v>
      </x:c>
      <x:c r="B16" s="3" t="str">
        <x:v>Accountability and performance history</x:v>
      </x:c>
      <x:c r="C16" s="3" t="str">
        <x:v>Management; Staff; PED §1.2, §2.1.1; MB §3 Management</x:v>
      </x:c>
      <x:c r="D16" s="3" t="str">
        <x:v>SR-IN-15; SR-IN-11</x:v>
      </x:c>
      <x:c r="E16" s="3" t="str">
        <x:f>INDEX(Requirements!$C$2:$C$28,MATCH(A16,Requirements!$A$2:$A$28,0))</x:f>
        <x:v>High</x:v>
      </x:c>
      <x:c r="F16" s="3" t="str">
        <x:v>AC-FR-015-1; AC-FR-015-2</x:v>
      </x:c>
      <x:c r="G16" s="3" t="str">
        <x:v>ADR-M2-03; ADR-M2-04; ADR-M2-05; ADR-M2-06; docs/decisions/README.md</x:v>
      </x:c>
      <x:c r="H16" s="3" t="str">
        <x:v>src/CivicConnect.Web/: RequestStatusHistoryEntity; EfRequestStatusWriter. M2 PR12; M3 PR14; local Cameron integration/test commit fef0469.</x:v>
      </x:c>
      <x:c r="I16" s="3" t="str">
        <x:v>E01; database checks; passed 2026-10-13 where mapped; docs/testing-m3.md.</x:v>
      </x:c>
      <x:c r="J16" s="3" t="str">
        <x:v>M2 consolidation 2026-09-30; requirement/AC unchanged; M3 2026-10-13: evidence evolved; requirement/AC unchanged; CR-M3-C01.</x:v>
      </x:c>
      <x:c r="K16" s="3" t="str">
        <x:v>Local review baseline; release NOT READY; docs/release-evidence.md.</x:v>
      </x:c>
      <x:c r="L16" s="3" t="str">
        <x:v>In Development</x:v>
      </x:c>
      <x:c r="M16" s="14" t="str">
        <x:v>Integrity; access isolation</x:v>
      </x:c>
      <x:c r="N16" s="14" t="str">
        <x:v>Accountability reporting (planned)</x:v>
      </x:c>
      <x:c r="O16" s="14" t="str">
        <x:v>PostgreSQL status/history/public-note transaction and optimistic version; broader schema/acceptance gaps remain.</x:v>
      </x:c>
      <x:c r="P16" s="14" t="str">
        <x:v>ADR-M2-04: ASP.NET Core MVC/Razor; EF Core/Npgsql 8.0.11; PostgreSQL adapters/migrations implemented by Michael (PR14).</x:v>
      </x:c>
      <x:c r="Q16" s="14" t="str">
        <x:v>R-014</x:v>
      </x:c>
      <x:c r="R16" s="14" t="str">
        <x:f>INDEX(Requirements!$B$2:$B$28,MATCH(A16,Requirements!$A$2:$A$28,0))</x:f>
        <x:v>Keep request history to support accountability and basic performance reporting.</x:v>
      </x:c>
      <x:c r="S16" s="21" t="str">
        <x:v>Four status audit edges with correct actor/time/version; history saved in PostgreSQL.</x:v>
      </x:c>
      <x:c r="T16" s="21" t="str">
        <x:v>Creation/ownership/priority/due-date/note history and restart/immutability checks pending. See docs/defects.md and technical-debt.md.</x:v>
      </x:c>
      <x:c r="U16" s="21" t="inlineStr">
        <x:is>
          <x:t>docs/testing-m3.md; docs/evidence/m3/personal-20261013-181846/ (integration.txt, regression.txt, database.txt; mapped IDs in column I).</x:t>
        </x:is>
      </x:c>
      <x:c r="V16" s="21" t="inlineStr">
        <x:is>
          <x:t>2026-10-13 18:18-18:19 SAST; Cameron Purdon 601963; f774bf8.</x:t>
        </x:is>
      </x:c>
    </x:row>
    <x:row r="17" ht="95" customHeight="1">
      <x:c r="A17" s="6" t="str">
        <x:v>FR-016</x:v>
      </x:c>
      <x:c r="B17" s="6" t="str">
        <x:v>Authenticated role access</x:v>
      </x:c>
      <x:c r="C17" s="6" t="str">
        <x:v>Requester; Staff; Management; PED §2.2.3; §5.2 concern 1; MB §16</x:v>
      </x:c>
      <x:c r="D17" s="6" t="str">
        <x:v>Cross-cutting: SR-IN-03, 06, 08, 12-15</x:v>
      </x:c>
      <x:c r="E17" s="6" t="str">
        <x:f>INDEX(Requirements!$C$2:$C$28,MATCH(A17,Requirements!$A$2:$A$28,0))</x:f>
        <x:v>High</x:v>
      </x:c>
      <x:c r="F17" s="6" t="str">
        <x:v>AC-FR-016-1; AC-FR-016-2</x:v>
      </x:c>
      <x:c r="G17" s="6" t="str">
        <x:v>ADR-M2-01; ADR-M2-03; ADR-M2-04; ADR-M2-05; ADR-M2-06; docs/decisions/README.md</x:v>
      </x:c>
      <x:c r="H17" s="6" t="str">
        <x:v>src/CivicConnect.Web/: Cookie authentication; central action/read policy. M2 PR12; M3 PR14; local Cameron integration/test commit fef0469.</x:v>
      </x:c>
      <x:c r="I17" s="6" t="str">
        <x:v>A02/BB05; S07-S12/H02/H03; passed 2026-10-13 where mapped; docs/testing-m3.md.</x:v>
      </x:c>
      <x:c r="J17" s="6" t="str">
        <x:v>M2 consolidation 2026-09-30; requirement/AC unchanged; M3 2026-10-13: evidence evolved; requirement/AC unchanged; CR-M3-C01.</x:v>
      </x:c>
      <x:c r="K17" s="6" t="str">
        <x:v>Local review baseline; release NOT READY; docs/release-evidence.md.</x:v>
      </x:c>
      <x:c r="L17" s="6" t="str">
        <x:v>In Development</x:v>
      </x:c>
      <x:c r="M17" s="15" t="str">
        <x:v>Access isolation</x:v>
      </x:c>
      <x:c r="N17" s="15" t="str">
        <x:v>Framework cookie gate and RequestAccessPolicy</x:v>
      </x:c>
      <x:c r="O17" s="15" t="str">
        <x:v>Trusted principal claims; user store/provisioning planned</x:v>
      </x:c>
      <x:c r="P17" s="15" t="str">
        <x:v>ADR-M2-04: ASP.NET Core MVC/Razor; EF Core/Npgsql 8.0.11; PostgreSQL adapters/migrations implemented by Michael (PR14).</x:v>
      </x:c>
      <x:c r="Q17" s="15" t="str">
        <x:v>R-013; R-031; R-032</x:v>
      </x:c>
      <x:c r="R17" s="15" t="str">
        <x:f>INDEX(Requirements!$B$2:$B$28,MATCH(A17,Requirements!$A$2:$A$28,0))</x:f>
        <x:v>Authenticate users and apply Requester, Staff and Management permissions.</x:v>
      </x:c>
      <x:c r="S17" s="21" t="str">
        <x:v>Signed-out calls return 401; ambiguous/inactive identities denied.</x:v>
      </x:c>
      <x:c r="T17" s="21" t="str">
        <x:v>Actual credential login/provisioning and permission freshness absent. See docs/defects.md and technical-debt.md.</x:v>
      </x:c>
      <x:c r="U17" s="21" t="inlineStr">
        <x:is>
          <x:t>docs/testing-m3.md; docs/evidence/m3/personal-20261013-181846/ (integration.txt, regression.txt, database.txt; mapped IDs in column I).</x:t>
        </x:is>
      </x:c>
      <x:c r="V17" s="21" t="inlineStr">
        <x:is>
          <x:t>2026-10-13 18:18-18:19 SAST; Cameron Purdon 601963; f774bf8.</x:t>
        </x:is>
      </x:c>
    </x:row>
    <x:row r="18" ht="95" customHeight="1">
      <x:c r="A18" s="3" t="str">
        <x:v>FR-017</x:v>
      </x:c>
      <x:c r="B18" s="3" t="str">
        <x:v>Request priority</x:v>
      </x:c>
      <x:c r="C18" s="3" t="str">
        <x:v>Staff; PED §2.1.1; MB §2 prioritisation need</x:v>
      </x:c>
      <x:c r="D18" s="3" t="str">
        <x:v>SR-IN-07; SR-IN-15</x:v>
      </x:c>
      <x:c r="E18" s="3" t="str">
        <x:f>INDEX(Requirements!$C$2:$C$28,MATCH(A18,Requirements!$A$2:$A$28,0))</x:f>
        <x:v>Medium</x:v>
      </x:c>
      <x:c r="F18" s="3" t="str">
        <x:v>AC-FR-017-1; AC-FR-017-2</x:v>
      </x:c>
      <x:c r="G18" s="3" t="str">
        <x:v>ADR-M2-03; ADR-M2-04; ADR-M2-05; ADR-M2-06; docs/decisions/README.md</x:v>
      </x:c>
      <x:c r="H18" s="3" t="str">
        <x:v>Planned. Design source PR #10 (architecture) / #11 (data/technology); no application implementation for this row.</x:v>
      </x:c>
      <x:c r="I18" s="3" t="str">
        <x:v>No priority mutation implementation</x:v>
      </x:c>
      <x:c r="J18" s="3" t="str">
        <x:v>M2 consolidation 2026-09-30; requirement/AC unchanged; M3 2026-10-13: evidence evolved; requirement/AC unchanged; CR-M3-C01.</x:v>
      </x:c>
      <x:c r="K18" s="3" t="str">
        <x:v>Local review baseline; release NOT READY; docs/release-evidence.md.</x:v>
      </x:c>
      <x:c r="L18" s="3" t="str">
        <x:v>Planned</x:v>
      </x:c>
      <x:c r="M18" s="14" t="str">
        <x:v>Integrity; access isolation</x:v>
      </x:c>
      <x:c r="N18" s="14" t="str">
        <x:v>Priority update service (planned)</x:v>
      </x:c>
      <x:c r="O18" s="14" t="str">
        <x:v>Controlled Low/Normal/High; default Normal</x:v>
      </x:c>
      <x:c r="P18" s="14" t="str">
        <x:v>ADR-M2-04: ASP.NET Core MVC/Razor; EF Core/Npgsql 8.0.11; PostgreSQL adapters/migrations implemented by Michael (PR14).</x:v>
      </x:c>
      <x:c r="Q18" s="14" t="str">
        <x:v>R-036</x:v>
      </x:c>
      <x:c r="R18" s="14" t="str">
        <x:f>INDEX(Requirements!$B$2:$B$28,MATCH(A18,Requirements!$A$2:$A$28,0))</x:f>
        <x:v>Record a controlled priority for each request and allow authorised staff to change it.</x:v>
      </x:c>
      <x:c r="S18" s="21" t="str">
        <x:v>Not executed for complete acceptance.</x:v>
      </x:c>
      <x:c r="T18" s="21" t="str">
        <x:v>Controlled priority/default/update absent.</x:v>
      </x:c>
      <x:c r="U18" s="21" t="str">
        <x:v>No complete M3 execution evidence; see docs/release-evidence.md.</x:v>
      </x:c>
      <x:c r="V18" s="21" t="str">
        <x:v>2026-10-13 evidence review.</x:v>
      </x:c>
    </x:row>
    <x:row r="19" ht="95" customHeight="1">
      <x:c r="A19" s="6" t="str">
        <x:v>FR-018</x:v>
      </x:c>
      <x:c r="B19" s="6" t="str">
        <x:v>Due dates and overdue identification</x:v>
      </x:c>
      <x:c r="C19" s="6" t="str">
        <x:v>Staff; Management; PED §2.1.1; MB §3 Management</x:v>
      </x:c>
      <x:c r="D19" s="6" t="str">
        <x:v>SR-IN-13; SR-IN-15</x:v>
      </x:c>
      <x:c r="E19" s="6" t="str">
        <x:f>INDEX(Requirements!$C$2:$C$28,MATCH(A19,Requirements!$A$2:$A$28,0))</x:f>
        <x:v>Medium</x:v>
      </x:c>
      <x:c r="F19" s="6" t="str">
        <x:v>AC-FR-018-1; AC-FR-018-2</x:v>
      </x:c>
      <x:c r="G19" s="6" t="str">
        <x:v>ADR-M2-02; ADR-M2-03; ADR-M2-04; ADR-M2-05; ADR-M2-06; docs/decisions/README.md</x:v>
      </x:c>
      <x:c r="H19" s="6" t="str">
        <x:v>Planned. Design source PR #10 (architecture) / #11 (data/technology); no application implementation for this row.</x:v>
      </x:c>
      <x:c r="I19" s="6" t="str">
        <x:v>No due-date/overdue implementation</x:v>
      </x:c>
      <x:c r="J19" s="6" t="str">
        <x:v>M2 consolidation 2026-09-30; requirement/AC unchanged; M3 2026-10-13: evidence evolved; requirement/AC unchanged; CR-M3-C01.</x:v>
      </x:c>
      <x:c r="K19" s="6" t="str">
        <x:v>Local review baseline; release NOT READY; docs/release-evidence.md.</x:v>
      </x:c>
      <x:c r="L19" s="6" t="str">
        <x:v>Planned</x:v>
      </x:c>
      <x:c r="M19" s="15" t="str">
        <x:v>Integrity; pilot performance</x:v>
      </x:c>
      <x:c r="N19" s="15" t="str">
        <x:v>Due-date service and overdue query (planned)</x:v>
      </x:c>
      <x:c r="O19" s="15" t="str">
        <x:v>Open states plus DueDate &lt; now; null not overdue</x:v>
      </x:c>
      <x:c r="P19" s="15" t="str">
        <x:v>ADR-M2-04: ASP.NET Core MVC/Razor; EF Core/Npgsql 8.0.11; PostgreSQL adapters/migrations implemented by Michael (PR14).</x:v>
      </x:c>
      <x:c r="Q19" s="15" t="str">
        <x:v>R-014</x:v>
      </x:c>
      <x:c r="R19" s="15" t="str">
        <x:f>INDEX(Requirements!$B$2:$B$28,MATCH(A19,Requirements!$A$2:$A$28,0))</x:f>
        <x:v>Allow staff to record due dates and identify overdue requests.</x:v>
      </x:c>
      <x:c r="S19" s="21" t="str">
        <x:v>Not executed for complete acceptance.</x:v>
      </x:c>
      <x:c r="T19" s="21" t="str">
        <x:v>Due-date/overdue calculation absent.</x:v>
      </x:c>
      <x:c r="U19" s="21" t="str">
        <x:v>No complete M3 execution evidence; see docs/release-evidence.md.</x:v>
      </x:c>
      <x:c r="V19" s="21" t="str">
        <x:v>2026-10-13 evidence review.</x:v>
      </x:c>
    </x:row>
    <x:row r="20" ht="95" customHeight="1">
      <x:c r="A20" s="3" t="str">
        <x:v>NFR-001</x:v>
      </x:c>
      <x:c r="B20" s="3" t="str">
        <x:v>Access-control isolation</x:v>
      </x:c>
      <x:c r="C20" s="3" t="str">
        <x:v>Requester; Staff; Management; PED §2.2.2 Security; R-004; MB §16</x:v>
      </x:c>
      <x:c r="D20" s="3" t="str">
        <x:v>Cross-cutting: all protected scope</x:v>
      </x:c>
      <x:c r="E20" s="3" t="str">
        <x:f>INDEX(Requirements!$C$2:$C$28,MATCH(A20,Requirements!$A$2:$A$28,0))</x:f>
        <x:v>High</x:v>
      </x:c>
      <x:c r="F20" s="3" t="str">
        <x:v>AC-NFR-001-1; AC-NFR-001-2</x:v>
      </x:c>
      <x:c r="G20" s="3" t="str">
        <x:v>ADR-M2-01; ADR-M2-03; ADR-M2-04; ADR-M2-05; ADR-M2-06; docs/decisions/README.md</x:v>
      </x:c>
      <x:c r="H20" s="3" t="str">
        <x:v>src/CivicConnect.Web/: RequestAccessPolicy; filtered DTO; versioned status command. M2 PR12; M3 PR14; local Cameron integration/test commit fef0469.</x:v>
      </x:c>
      <x:c r="I20" s="3" t="str">
        <x:v>C03/BB05/A04/A06/E01/E02; S02-S12; passed 2026-10-13 where mapped; docs/testing-m3.md.</x:v>
      </x:c>
      <x:c r="J20" s="3" t="str">
        <x:v>M2 consolidation 2026-09-30; requirement/AC unchanged; M3 2026-10-13: evidence evolved; requirement/AC unchanged; CR-M3-C01.</x:v>
      </x:c>
      <x:c r="K20" s="3" t="str">
        <x:v>Local review baseline; release NOT READY; docs/release-evidence.md.</x:v>
      </x:c>
      <x:c r="L20" s="3" t="str">
        <x:v>In Development</x:v>
      </x:c>
      <x:c r="M20" s="14" t="str">
        <x:v>Access isolation</x:v>
      </x:c>
      <x:c r="N20" s="14" t="str">
        <x:v>RequestAccessPolicy and DTO projection</x:v>
      </x:c>
      <x:c r="O20" s="14" t="str">
        <x:v>Michael EF Core/PostgreSQL reader and persisted synthetic requests/notes; authorised application projection.</x:v>
      </x:c>
      <x:c r="P20" s="14" t="str">
        <x:v>ADR-M2-04: ASP.NET Core MVC/Razor; EF Core/Npgsql 8.0.11; PostgreSQL adapters/migrations implemented by Michael (PR14).</x:v>
      </x:c>
      <x:c r="Q20" s="14" t="str">
        <x:v>R-013; R-017; R-032</x:v>
      </x:c>
      <x:c r="R20" s="14" t="str">
        <x:f>INDEX(Requirements!$B$2:$B$28,MATCH(A20,Requirements!$A$2:$A$28,0))</x:f>
        <x:v>Protect requests using role and record-level access controls.</x:v>
      </x:c>
      <x:c r="S20" s="21" t="str">
        <x:v>No unauthorised disclosure/change in selected role/record cases.</x:v>
      </x:c>
      <x:c r="T20" s="21" t="str">
        <x:v>Synthetic-ticket access matrix only; live permission freshness unverified. See docs/defects.md and technical-debt.md.</x:v>
      </x:c>
      <x:c r="U20" s="21" t="inlineStr">
        <x:is>
          <x:t>docs/testing-m3.md; docs/evidence/m3/personal-20261013-181846/ (integration.txt, regression.txt, database.txt; mapped IDs in column I).</x:t>
        </x:is>
      </x:c>
      <x:c r="V20" s="21" t="inlineStr">
        <x:is>
          <x:t>2026-10-13 18:18-18:19 SAST; Cameron Purdon 601963; f774bf8.</x:t>
        </x:is>
      </x:c>
    </x:row>
    <x:row r="21" ht="95" customHeight="1">
      <x:c r="A21" s="6" t="str">
        <x:v>NFR-002</x:v>
      </x:c>
      <x:c r="B21" s="6" t="str">
        <x:v>Pilot response time</x:v>
      </x:c>
      <x:c r="C21" s="6" t="str">
        <x:v>Requester; Staff; Management; PED A-03, §2.2.2 Quality/Cost; §5.2 concern 3; MB §4</x:v>
      </x:c>
      <x:c r="D21" s="6" t="str">
        <x:v>SR-IN-01; SR-IN-03; SR-IN-07; SR-IN-13</x:v>
      </x:c>
      <x:c r="E21" s="6" t="str">
        <x:f>INDEX(Requirements!$C$2:$C$28,MATCH(A21,Requirements!$A$2:$A$28,0))</x:f>
        <x:v>Medium</x:v>
      </x:c>
      <x:c r="F21" s="6" t="str">
        <x:v>AC-NFR-002-1; AC-NFR-002-2</x:v>
      </x:c>
      <x:c r="G21" s="6" t="str">
        <x:v>ADR-M2-01; ADR-M2-03; ADR-M2-04; docs/decisions/README.md</x:v>
      </x:c>
      <x:c r="H21" s="6" t="str">
        <x:v>Planned. Design source PR #10 (architecture) / #11 (data/technology); no application implementation for this row.</x:v>
      </x:c>
      <x:c r="I21" s="6" t="str">
        <x:v>Original load and timing targets unchanged; no measurements</x:v>
      </x:c>
      <x:c r="J21" s="6" t="str">
        <x:v>M2 consolidation 2026-09-30; requirement/AC unchanged; M3 2026-10-13: evidence evolved; requirement/AC unchanged; CR-M3-C01.</x:v>
      </x:c>
      <x:c r="K21" s="6" t="str">
        <x:v>Local review baseline; release NOT READY; docs/release-evidence.md.</x:v>
      </x:c>
      <x:c r="L21" s="6" t="str">
        <x:v>Planned</x:v>
      </x:c>
      <x:c r="M21" s="15" t="str">
        <x:v>Pilot performance</x:v>
      </x:c>
      <x:c r="N21" s="15" t="str">
        <x:v>Single application; later load harness</x:v>
      </x:c>
      <x:c r="O21" s="15" t="str">
        <x:v>Indexes/pooling/data volume to verify</x:v>
      </x:c>
      <x:c r="P21" s="15" t="str">
        <x:v>ADR-M2-04: ASP.NET Core MVC/Razor; EF Core/Npgsql 8.0.11; PostgreSQL adapters/migrations implemented by Michael (PR14).</x:v>
      </x:c>
      <x:c r="Q21" s="15" t="str">
        <x:v>R-016; R-022</x:v>
      </x:c>
      <x:c r="R21" s="15" t="str">
        <x:f>INDEX(Requirements!$B$2:$B$28,MATCH(A21,Requirements!$A$2:$A$28,0))</x:f>
        <x:v>Complete at least 95% of submissions, status views, staff searches and management summaries within 3 seconds at pilot load, with at most 1% failures.</x:v>
      </x:c>
      <x:c r="S21" s="21" t="str">
        <x:v>Not executed for complete acceptance.</x:v>
      </x:c>
      <x:c r="T21" s="21" t="str">
        <x:v>No load measurements; original 3s/95%/1% target and pilot workload unverified.</x:v>
      </x:c>
      <x:c r="U21" s="21" t="str">
        <x:v>No complete M3 execution evidence; see docs/release-evidence.md.</x:v>
      </x:c>
      <x:c r="V21" s="21" t="str">
        <x:v>2026-10-13 evidence review.</x:v>
      </x:c>
    </x:row>
    <x:row r="22" ht="95" customHeight="1">
      <x:c r="A22" s="3" t="str">
        <x:v>NFR-003</x:v>
      </x:c>
      <x:c r="B22" s="3" t="str">
        <x:v>Data integrity on save</x:v>
      </x:c>
      <x:c r="C22" s="3" t="str">
        <x:v>Requester; Staff; Management; PED §1.1; §7.1.2; MB §15</x:v>
      </x:c>
      <x:c r="D22" s="3" t="str">
        <x:v>SR-IN-01; SR-IN-09-12; SR-IN-15</x:v>
      </x:c>
      <x:c r="E22" s="3" t="str">
        <x:f>INDEX(Requirements!$C$2:$C$28,MATCH(A22,Requirements!$A$2:$A$28,0))</x:f>
        <x:v>High</x:v>
      </x:c>
      <x:c r="F22" s="3" t="str">
        <x:v>AC-NFR-003-1; AC-NFR-003-2</x:v>
      </x:c>
      <x:c r="G22" s="3" t="str">
        <x:v>ADR-M2-02; ADR-M2-03; ADR-M2-04; ADR-M2-06; docs/decisions/README.md</x:v>
      </x:c>
      <x:c r="H22" s="3" t="str">
        <x:v>src/CivicConnect.Web/: EF transaction; concurrency version; status coordinator. M2 PR12; M3 PR14; local Cameron integration/test commit fef0469.</x:v>
      </x:c>
      <x:c r="I22" s="3" t="str">
        <x:v>A05/A06; E01; database checks; passed 2026-10-13 where mapped; docs/testing-m3.md.</x:v>
      </x:c>
      <x:c r="J22" s="3" t="str">
        <x:v>M2 consolidation 2026-09-30; requirement/AC unchanged; M3 2026-10-13: evidence evolved; requirement/AC unchanged; CR-M3-C01.</x:v>
      </x:c>
      <x:c r="K22" s="3" t="str">
        <x:v>Local review baseline; release NOT READY; docs/release-evidence.md.</x:v>
      </x:c>
      <x:c r="L22" s="3" t="str">
        <x:v>In Development</x:v>
      </x:c>
      <x:c r="M22" s="14" t="str">
        <x:v>Integrity</x:v>
      </x:c>
      <x:c r="N22" s="14" t="str">
        <x:v>Future transaction coordinator</x:v>
      </x:c>
      <x:c r="O22" s="14" t="str">
        <x:v>PostgreSQL status/history/public-note transaction and optimistic version; broader schema/acceptance gaps remain.</x:v>
      </x:c>
      <x:c r="P22" s="14" t="str">
        <x:v>ADR-M2-04: ASP.NET Core MVC/Razor; EF Core/Npgsql 8.0.11; PostgreSQL adapters/migrations implemented by Michael (PR14).</x:v>
      </x:c>
      <x:c r="Q22" s="14" t="str">
        <x:v>R-015</x:v>
      </x:c>
      <x:c r="R22" s="14" t="str">
        <x:f>INDEX(Requirements!$B$2:$B$28,MATCH(A22,Requirements!$A$2:$A$28,0))</x:f>
        <x:v>Save request data and its history together without partial updates.</x:v>
      </x:c>
      <x:c r="S22" s="21" t="str">
        <x:v>Failed status write rolls back; stale version rejected; saved effects agree.</x:v>
      </x:c>
      <x:c r="T22" s="21" t="str">
        <x:v>Submission/assignment/idempotency and complete process restart unverified. See docs/defects.md and technical-debt.md.</x:v>
      </x:c>
      <x:c r="U22" s="21" t="inlineStr">
        <x:is>
          <x:t>docs/testing-m3.md; docs/evidence/m3/personal-20261013-181846/ (integration.txt, regression.txt, database.txt; mapped IDs in column I).</x:t>
        </x:is>
      </x:c>
      <x:c r="V22" s="21" t="inlineStr">
        <x:is>
          <x:t>2026-10-13 18:18-18:19 SAST; Cameron Purdon 601963; f774bf8.</x:t>
        </x:is>
      </x:c>
    </x:row>
    <x:row r="23" ht="95" customHeight="1">
      <x:c r="A23" s="6" t="str">
        <x:v>NFR-004</x:v>
      </x:c>
      <x:c r="B23" s="6" t="str">
        <x:v>Requester usability</x:v>
      </x:c>
      <x:c r="C23" s="6" t="str">
        <x:v>Requester; PED §1.2, A-01; MB §5</x:v>
      </x:c>
      <x:c r="D23" s="6" t="str">
        <x:v>SR-IN-01; SR-IN-03; SR-IN-04</x:v>
      </x:c>
      <x:c r="E23" s="6" t="str">
        <x:f>INDEX(Requirements!$C$2:$C$28,MATCH(A23,Requirements!$A$2:$A$28,0))</x:f>
        <x:v>Medium</x:v>
      </x:c>
      <x:c r="F23" s="6" t="str">
        <x:v>AC-NFR-004-1; AC-NFR-004-2</x:v>
      </x:c>
      <x:c r="G23" s="6" t="str">
        <x:v>ADR-M2-01; ADR-M2-04; docs/decisions/README.md</x:v>
      </x:c>
      <x:c r="H23" s="6" t="str">
        <x:v>Planned. Design source PR #10 (architecture) / #11 (data/technology); no application implementation for this row.</x:v>
      </x:c>
      <x:c r="I23" s="6" t="str">
        <x:v>No representative participant evaluation</x:v>
      </x:c>
      <x:c r="J23" s="6" t="str">
        <x:v>M2 consolidation 2026-09-30; requirement/AC unchanged; M3 2026-10-13: evidence evolved; requirement/AC unchanged; CR-M3-C01.</x:v>
      </x:c>
      <x:c r="K23" s="6" t="str">
        <x:v>Local review baseline; release NOT READY; docs/release-evidence.md.</x:v>
      </x:c>
      <x:c r="L23" s="6" t="str">
        <x:v>Planned</x:v>
      </x:c>
      <x:c r="M23" s="15" t="str">
        <x:v>Usability supports pilot scope</x:v>
      </x:c>
      <x:c r="N23" s="15" t="str">
        <x:v>Future requester UI</x:v>
      </x:c>
      <x:c r="O23" s="15" t="str">
        <x:v>No additional data decision</x:v>
      </x:c>
      <x:c r="P23" s="15" t="str">
        <x:v>ADR-M2-04: ASP.NET Core MVC/Razor; EF Core/Npgsql 8.0.11; PostgreSQL adapters/migrations implemented by Michael (PR14).</x:v>
      </x:c>
      <x:c r="Q23" s="15" t="str">
        <x:v>R-021</x:v>
      </x:c>
      <x:c r="R23" s="15" t="str">
        <x:f>INDEX(Requirements!$B$2:$B$28,MATCH(A23,Requirements!$A$2:$A$28,0))</x:f>
        <x:v>Make request submission and status checking easy for users with basic digital skills.</x:v>
      </x:c>
      <x:c r="S23" s="21" t="str">
        <x:v>Not executed for complete acceptance.</x:v>
      </x:c>
      <x:c r="T23" s="21" t="str">
        <x:v>No five-participant usability exercise.</x:v>
      </x:c>
      <x:c r="U23" s="21" t="str">
        <x:v>No complete M3 execution evidence; see docs/release-evidence.md.</x:v>
      </x:c>
      <x:c r="V23" s="21" t="str">
        <x:v>2026-10-13 evidence review.</x:v>
      </x:c>
    </x:row>
    <x:row r="24" ht="95" customHeight="1">
      <x:c r="A24" s="3" t="str">
        <x:v>NFR-005</x:v>
      </x:c>
      <x:c r="B24" s="3" t="str">
        <x:v>Responsive and keyboard-usable interface</x:v>
      </x:c>
      <x:c r="C24" s="3" t="str">
        <x:v>Requester; Staff; Management; PED §2.1.2; A-01; MB §5, §15</x:v>
      </x:c>
      <x:c r="D24" s="3" t="str">
        <x:v>Cross-cutting; responsive web scope</x:v>
      </x:c>
      <x:c r="E24" s="3" t="str">
        <x:f>INDEX(Requirements!$C$2:$C$28,MATCH(A24,Requirements!$A$2:$A$28,0))</x:f>
        <x:v>Medium</x:v>
      </x:c>
      <x:c r="F24" s="3" t="str">
        <x:v>AC-NFR-005-1; AC-NFR-005-2</x:v>
      </x:c>
      <x:c r="G24" s="3" t="str">
        <x:v>ADR-M2-01; ADR-M2-04; docs/decisions/README.md</x:v>
      </x:c>
      <x:c r="H24" s="3" t="str">
        <x:v>Planned. Design source PR #10 (architecture) / #11 (data/technology); no application implementation for this row.</x:v>
      </x:c>
      <x:c r="I24" s="3" t="str">
        <x:v>Landing exists; viewport/keyboard/core-route acceptance pending</x:v>
      </x:c>
      <x:c r="J24" s="3" t="str">
        <x:v>M2 consolidation 2026-09-30; requirement/AC unchanged; M3 2026-10-13: evidence evolved; requirement/AC unchanged; CR-M3-C01.</x:v>
      </x:c>
      <x:c r="K24" s="3" t="str">
        <x:v>Local review baseline; release NOT READY; docs/release-evidence.md.</x:v>
      </x:c>
      <x:c r="L24" s="3" t="str">
        <x:v>Planned</x:v>
      </x:c>
      <x:c r="M24" s="14" t="str">
        <x:v>Accessibility/responsive presentation</x:v>
      </x:c>
      <x:c r="N24" s="14" t="str">
        <x:v>Razor landing; future functional views</x:v>
      </x:c>
      <x:c r="O24" s="14" t="str">
        <x:v>No additional data decision</x:v>
      </x:c>
      <x:c r="P24" s="14" t="str">
        <x:v>ADR-M2-04: ASP.NET Core MVC/Razor; EF Core/Npgsql 8.0.11; PostgreSQL adapters/migrations implemented by Michael (PR14).</x:v>
      </x:c>
      <x:c r="Q24" s="14" t="str">
        <x:v>R-021</x:v>
      </x:c>
      <x:c r="R24" s="14" t="str">
        <x:f>INDEX(Requirements!$B$2:$B$28,MATCH(A24,Requirements!$A$2:$A$28,0))</x:f>
        <x:v>Provide a responsive web interface that supports keyboard use.</x:v>
      </x:c>
      <x:c r="S24" s="21" t="str">
        <x:v>Not executed for complete acceptance.</x:v>
      </x:c>
      <x:c r="T24" s="21" t="str">
        <x:v>No representative responsive/keyboard workflow evaluation.</x:v>
      </x:c>
      <x:c r="U24" s="21" t="str">
        <x:v>No complete M3 execution evidence; see docs/release-evidence.md.</x:v>
      </x:c>
      <x:c r="V24" s="21" t="str">
        <x:v>2026-10-13 evidence review.</x:v>
      </x:c>
    </x:row>
    <x:row r="25" ht="95" customHeight="1">
      <x:c r="A25" s="6" t="str">
        <x:v>NFR-006</x:v>
      </x:c>
      <x:c r="B25" s="6" t="str">
        <x:v>Protected data in transit</x:v>
      </x:c>
      <x:c r="C25" s="6" t="str">
        <x:v>Requester; Staff; Management; PED §2.2.2 Security; §5.2 concern 6; MB §16</x:v>
      </x:c>
      <x:c r="D25" s="6" t="str">
        <x:v>Cross-cutting: protected product data</x:v>
      </x:c>
      <x:c r="E25" s="6" t="str">
        <x:f>INDEX(Requirements!$C$2:$C$28,MATCH(A25,Requirements!$A$2:$A$28,0))</x:f>
        <x:v>High</x:v>
      </x:c>
      <x:c r="F25" s="6" t="str">
        <x:v>AC-NFR-006-1; AC-NFR-006-2</x:v>
      </x:c>
      <x:c r="G25" s="6" t="str">
        <x:v>ADR-M2-01; ADR-M2-03; ADR-M2-04; ADR-M2-06; docs/decisions/README.md</x:v>
      </x:c>
      <x:c r="H25" s="6" t="str">
        <x:v>src/CivicConnect.Web/: Secure cookies; temporary HTTPS test host. M2 PR12; M3 PR14; local Cameron integration/test commit fef0469.</x:v>
      </x:c>
      <x:c r="I25" s="6" t="str">
        <x:v>M3 suite ran over HTTPS; passed 2026-10-13 where mapped; docs/testing-m3.md.</x:v>
      </x:c>
      <x:c r="J25" s="6" t="str">
        <x:v>M2 consolidation 2026-09-30; requirement/AC unchanged; M3 2026-10-13: evidence evolved; requirement/AC unchanged; CR-M3-C01.</x:v>
      </x:c>
      <x:c r="K25" s="6" t="str">
        <x:v>Local review baseline; release NOT READY; docs/release-evidence.md.</x:v>
      </x:c>
      <x:c r="L25" s="6" t="str">
        <x:v>In Development</x:v>
      </x:c>
      <x:c r="M25" s="15" t="str">
        <x:v>Secure deployment constraint</x:v>
      </x:c>
      <x:c r="N25" s="15" t="str">
        <x:v>Future HTTPS host and cookie deployment</x:v>
      </x:c>
      <x:c r="O25" s="15" t="str">
        <x:v>TLS for protected HTTP and database traffic</x:v>
      </x:c>
      <x:c r="P25" s="15" t="str">
        <x:v>ADR-M2-04: ASP.NET Core MVC/Razor; EF Core/Npgsql 8.0.11; PostgreSQL adapters/migrations implemented by Michael (PR14).</x:v>
      </x:c>
      <x:c r="Q25" s="15" t="str">
        <x:v>R-033</x:v>
      </x:c>
      <x:c r="R25" s="15" t="str">
        <x:f>INDEX(Requirements!$B$2:$B$28,MATCH(A25,Requirements!$A$2:$A$28,0))</x:f>
        <x:v>Use HTTPS to protect authentication and request data in deployed environments.</x:v>
      </x:c>
      <x:c r="S25" s="21" t="str">
        <x:v>Temporary loopback certificate and secure cookies used for test host.</x:v>
      </x:c>
      <x:c r="T25" s="21" t="str">
        <x:v>Real deployed certificate/HTTPS redirect and browser acceptance pending. See docs/defects.md and technical-debt.md.</x:v>
      </x:c>
      <x:c r="U25" s="21" t="inlineStr">
        <x:is>
          <x:t>docs/testing-m3.md; docs/evidence/m3/personal-20261013-181846/ (integration.txt, regression.txt, database.txt; mapped IDs in column I).</x:t>
        </x:is>
      </x:c>
      <x:c r="V25" s="21" t="inlineStr">
        <x:is>
          <x:t>2026-10-13 18:18-18:19 SAST; Cameron Purdon 601963; f774bf8.</x:t>
        </x:is>
      </x:c>
    </x:row>
    <x:row r="26" ht="95" customHeight="1">
      <x:c r="A26" s="3" t="str">
        <x:v>NFR-007</x:v>
      </x:c>
      <x:c r="B26" s="3" t="str">
        <x:v>Recoverable request records</x:v>
      </x:c>
      <x:c r="C26" s="3" t="str">
        <x:v>Project team; Management; PED §5.2 concern 7; §7.1; MB §17</x:v>
      </x:c>
      <x:c r="D26" s="3" t="str">
        <x:v>Cross-cutting: retained request/history data</x:v>
      </x:c>
      <x:c r="E26" s="3" t="str">
        <x:f>INDEX(Requirements!$C$2:$C$28,MATCH(A26,Requirements!$A$2:$A$28,0))</x:f>
        <x:v>Medium</x:v>
      </x:c>
      <x:c r="F26" s="3" t="str">
        <x:v>AC-NFR-007-1; AC-NFR-007-2</x:v>
      </x:c>
      <x:c r="G26" s="3" t="str">
        <x:v>ADR-M2-03; ADR-M2-04; docs/decisions/README.md</x:v>
      </x:c>
      <x:c r="H26" s="3" t="str">
        <x:v>Planned. Design source PR #10 (architecture) / #11 (data/technology); no application implementation for this row.</x:v>
      </x:c>
      <x:c r="I26" s="3" t="str">
        <x:v>RPO/RTO targets retained; no restore evidence</x:v>
      </x:c>
      <x:c r="J26" s="3" t="str">
        <x:v>M2 consolidation 2026-09-30; requirement/AC unchanged; M3 2026-10-13: evidence evolved; requirement/AC unchanged; CR-M3-C01.</x:v>
      </x:c>
      <x:c r="K26" s="3" t="str">
        <x:v>Local review baseline; release NOT READY; docs/release-evidence.md.</x:v>
      </x:c>
      <x:c r="L26" s="3" t="str">
        <x:v>Planned</x:v>
      </x:c>
      <x:c r="M26" s="14" t="str">
        <x:v>Recovery constraint</x:v>
      </x:c>
      <x:c r="N26" s="14" t="str">
        <x:v>Future backup/restore process</x:v>
      </x:c>
      <x:c r="O26" s="14" t="str">
        <x:v>PostgreSQL backup and timed restore</x:v>
      </x:c>
      <x:c r="P26" s="14" t="str">
        <x:v>ADR-M2-04: ASP.NET Core MVC/Razor; EF Core/Npgsql 8.0.11; PostgreSQL adapters/migrations implemented by Michael (PR14).</x:v>
      </x:c>
      <x:c r="Q26" s="14" t="str">
        <x:v>R-018; R-040</x:v>
      </x:c>
      <x:c r="R26" s="14" t="str">
        <x:f>INDEX(Requirements!$B$2:$B$28,MATCH(A26,Requirements!$A$2:$A$28,0))</x:f>
        <x:v>Support recovery with no more than 24 hours of lost data and restoration within four hours.</x:v>
      </x:c>
      <x:c r="S26" s="21" t="str">
        <x:v>Not executed for complete acceptance.</x:v>
      </x:c>
      <x:c r="T26" s="21" t="str">
        <x:v>No backup/restore measurement against RPO/RTO.</x:v>
      </x:c>
      <x:c r="U26" s="21" t="str">
        <x:v>No complete M3 execution evidence; see docs/release-evidence.md.</x:v>
      </x:c>
      <x:c r="V26" s="21" t="str">
        <x:v>2026-10-13 evidence review.</x:v>
      </x:c>
    </x:row>
    <x:row r="27" ht="95" customHeight="1">
      <x:c r="A27" s="6" t="str">
        <x:v>NFR-008</x:v>
      </x:c>
      <x:c r="B27" s="6" t="str">
        <x:v>Privacy of logs and errors</x:v>
      </x:c>
      <x:c r="C27" s="6" t="str">
        <x:v>Requester; Staff; Management; PED §5.2 concern 6; R-004, R-005; MB §16</x:v>
      </x:c>
      <x:c r="D27" s="6" t="str">
        <x:v>Cross-cutting: restricted information</x:v>
      </x:c>
      <x:c r="E27" s="6" t="str">
        <x:f>INDEX(Requirements!$C$2:$C$28,MATCH(A27,Requirements!$A$2:$A$28,0))</x:f>
        <x:v>High</x:v>
      </x:c>
      <x:c r="F27" s="6" t="str">
        <x:v>AC-NFR-008-1; AC-NFR-008-2</x:v>
      </x:c>
      <x:c r="G27" s="6" t="str">
        <x:v>ADR-M2-01; ADR-M2-04; ADR-M2-05; ADR-M2-06; docs/decisions/README.md</x:v>
      </x:c>
      <x:c r="H27" s="6" t="str">
        <x:v>src/CivicConnect.Web/: Generic HTTP exception boundary. M2 PR12; M3 PR14; local Cameron integration/test commit fef0469.</x:v>
      </x:c>
      <x:c r="I27" s="6" t="str">
        <x:v>A05; H12/H13; passed 2026-10-13 where mapped; docs/testing-m3.md.</x:v>
      </x:c>
      <x:c r="J27" s="6" t="str">
        <x:v>M2 consolidation 2026-09-30; requirement/AC unchanged; M3 2026-10-13: evidence evolved; requirement/AC unchanged; CR-M3-C01.</x:v>
      </x:c>
      <x:c r="K27" s="6" t="str">
        <x:v>Local review baseline; release NOT READY; docs/release-evidence.md.</x:v>
      </x:c>
      <x:c r="L27" s="6" t="str">
        <x:v>In Development</x:v>
      </x:c>
      <x:c r="M27" s="15" t="str">
        <x:v>Privacy and failure behaviour</x:v>
      </x:c>
      <x:c r="N27" s="15" t="str">
        <x:v>Safe error middleware; no private payload logging</x:v>
      </x:c>
      <x:c r="O27" s="15" t="str">
        <x:v>Filtered DTO; generic exception handling</x:v>
      </x:c>
      <x:c r="P27" s="15" t="str">
        <x:v>ADR-M2-04: ASP.NET Core MVC/Razor; EF Core/Npgsql 8.0.11; PostgreSQL adapters/migrations implemented by Michael (PR14).</x:v>
      </x:c>
      <x:c r="Q27" s="15" t="str">
        <x:v>R-034; R-035</x:v>
      </x:c>
      <x:c r="R27" s="15" t="str">
        <x:f>INDEX(Requirements!$B$2:$B$28,MATCH(A27,Requirements!$A$2:$A$28,0))</x:f>
        <x:v>Keep sensitive information out of application logs and error messages.</x:v>
      </x:c>
      <x:c r="S27" s="21" t="str">
        <x:v>500 does not disclose exception/private marker; responses no-store.</x:v>
      </x:c>
      <x:c r="T27" s="21" t="str">
        <x:v>Full dummy-secret/log-content audit pending. See docs/defects.md and technical-debt.md.</x:v>
      </x:c>
      <x:c r="U27" s="21" t="inlineStr">
        <x:is>
          <x:t>docs/testing-m3.md; docs/evidence/m3/personal-20261013-181846/ (integration.txt, regression.txt, database.txt; mapped IDs in column I).</x:t>
        </x:is>
      </x:c>
      <x:c r="V27" s="21" t="inlineStr">
        <x:is>
          <x:t>2026-10-13 18:18-18:19 SAST; Cameron Purdon 601963; f774bf8.</x:t>
        </x:is>
      </x:c>
    </x:row>
    <x:row r="28" ht="95" customHeight="1">
      <x:c r="A28" s="3" t="str">
        <x:v>NFR-009</x:v>
      </x:c>
      <x:c r="B28" s="3" t="str">
        <x:v>Testability of core business rules</x:v>
      </x:c>
      <x:c r="C28" s="3" t="str">
        <x:v>Project team; PED §5.2 concern 4; MB §15; M1 §4</x:v>
      </x:c>
      <x:c r="D28" s="3" t="str">
        <x:v>Cross-cutting: core request lifecycle</x:v>
      </x:c>
      <x:c r="E28" s="3" t="str">
        <x:f>INDEX(Requirements!$C$2:$C$28,MATCH(A28,Requirements!$A$2:$A$28,0))</x:f>
        <x:v>High</x:v>
      </x:c>
      <x:c r="F28" s="3" t="str">
        <x:v>AC-NFR-009-1; AC-NFR-009-2</x:v>
      </x:c>
      <x:c r="G28" s="3" t="str">
        <x:v>ADR-M2-01; ADR-M2-04; ADR-M2-05; ADR-M2-06; ADR-M2-07; docs/decisions/README.md</x:v>
      </x:c>
      <x:c r="H28" s="3" t="str">
        <x:v>src/CivicConnect.Web/: Injected reader/policy/writer; isolated executable suites. M2 PR12; M3 PR14; local Cameron integration/test commit fef0469.</x:v>
      </x:c>
      <x:c r="I28" s="3" t="str">
        <x:v>C01-C06; BB01-BB05; A01-A06; E01/E02; passed 2026-10-13 where mapped; docs/testing-m3.md.</x:v>
      </x:c>
      <x:c r="J28" s="3" t="str">
        <x:v>M2 consolidation 2026-09-30; requirement/AC unchanged; M3 2026-10-13: evidence evolved; requirement/AC unchanged; CR-M3-C01.</x:v>
      </x:c>
      <x:c r="K28" s="3" t="str">
        <x:v>Local review baseline; release NOT READY; docs/release-evidence.md.</x:v>
      </x:c>
      <x:c r="L28" s="3" t="str">
        <x:v>In Development</x:v>
      </x:c>
      <x:c r="M28" s="14" t="str">
        <x:v>Testability</x:v>
      </x:c>
      <x:c r="N28" s="14" t="str">
        <x:v>Injected reader/policy; verification executable</x:v>
      </x:c>
      <x:c r="O28" s="14" t="str">
        <x:v>Synthetic data with controlled store fault</x:v>
      </x:c>
      <x:c r="P28" s="14" t="str">
        <x:v>ADR-M2-04: ASP.NET Core MVC/Razor; EF Core/Npgsql 8.0.11; PostgreSQL adapters/migrations implemented by Michael (PR14).</x:v>
      </x:c>
      <x:c r="Q28" s="14" t="str">
        <x:v>R-009; R-038</x:v>
      </x:c>
      <x:c r="R28" s="14" t="str">
        <x:f>INDEX(Requirements!$B$2:$B$28,MATCH(A28,Requirements!$A$2:$A$28,0))</x:f>
        <x:v>Allow core request rules to be tested with controlled data in a separate test environment.</x:v>
      </x:c>
      <x:c r="S28" s="21" t="str">
        <x:v>Repeatable core access/status cases; negative control fails forbidden transition.</x:v>
      </x:c>
      <x:c r="T28" s="21" t="str">
        <x:v>Submission/assignment/reporting rules remain unimplemented. See docs/defects.md and technical-debt.md.</x:v>
      </x:c>
      <x:c r="U28" s="21" t="inlineStr">
        <x:is>
          <x:t>docs/testing-m3.md; docs/evidence/m3/personal-20261013-181846/ (integration.txt, regression.txt, database.txt; mapped IDs in column I).</x:t>
        </x:is>
      </x:c>
      <x:c r="V28" s="21" t="inlineStr">
        <x:is>
          <x:t>2026-10-13 18:18-18:19 SAST; Cameron Purdon 601963; f774bf8.</x:t>
        </x:is>
      </x:c>
    </x:row>
    <x:row r="31" ht="45" customHeight="1">
      <x:c r="A31" s="8" t="str">
        <x:v>Source key</x:v>
      </x:c>
      <x:c r="B31" s="8" t="str">
        <x:v>PED = supplied PED1, sections 1.2 and 2.1–2.2. MB = SEN381 CivicConnect Master Project Brief, sections 3 and 11.</x:v>
      </x:c>
      <x:c r="C31" s="12"/>
      <x:c r="D31" s="12"/>
      <x:c r="E31" s="12"/>
      <x:c r="F31" s="12"/>
      <x:c r="G31" s="12"/>
      <x:c r="H31" s="12"/>
      <x:c r="I31" s="12"/>
      <x:c r="J31" s="12"/>
      <x:c r="K31" s="12"/>
      <x:c r="L31" s="12"/>
    </x:row>
    <x:row r="32" ht="45" customHeight="1">
      <x:c r="A32" s="8" t="str">
        <x:v>RTM format</x:v>
      </x:c>
      <x:c r="B32" s="8" t="str">
        <x:v>M2 evolution: M1 requirements and ACs retained; M2 architecture/data/technology/design and local evidence added. Supporting research is in ADRs.</x:v>
      </x:c>
      <x:c r="C32" s="12"/>
      <x:c r="D32" s="12"/>
      <x:c r="E32" s="12"/>
      <x:c r="F32" s="12"/>
      <x:c r="G32" s="12"/>
      <x:c r="H32" s="12"/>
      <x:c r="I32" s="12"/>
      <x:c r="J32" s="12"/>
      <x:c r="K32" s="12"/>
      <x:c r="L32" s="12"/>
    </x:row>
    <x:row r="33" ht="45" customHeight="1">
      <x:c r="A33" s="8" t="str">
        <x:v>Status</x:v>
      </x:c>
      <x:c r="B33" s="8" t="str">
        <x:v>Planned = no working implementation. In Development = partial local evidence; not full acceptance. No requirement marked Verified. Team baseline approval pending.</x:v>
      </x:c>
      <x:c r="C33" s="12"/>
      <x:c r="D33" s="12"/>
      <x:c r="E33" s="12"/>
      <x:c r="F33" s="12"/>
      <x:c r="G33" s="12"/>
      <x:c r="H33" s="12"/>
      <x:c r="I33" s="12"/>
      <x:c r="J33" s="12"/>
      <x:c r="K33" s="12"/>
      <x:c r="L33" s="12"/>
    </x:row>
    <x:row r="34" ht="45" customHeight="1">
      <x:c r="A34" s="8" t="str">
        <x:v>Maintenance</x:v>
      </x:c>
      <x:c r="B34" s="8" t="str">
        <x:v>Keep requirement IDs stable. Update affected acceptance criteria and trace links when a change is approved. Add actual evidence links as work progresses.</x:v>
      </x:c>
      <x:c r="C34" s="12"/>
      <x:c r="D34" s="12"/>
      <x:c r="E34" s="12"/>
      <x:c r="F34" s="12"/>
      <x:c r="G34" s="12"/>
      <x:c r="H34" s="12"/>
      <x:c r="I34" s="12"/>
      <x:c r="J34" s="12"/>
      <x:c r="K34" s="12"/>
      <x:c r="L34" s="12"/>
    </x:row>
    <x:row r="35">
      <x:c r="A35" t="str">
        <x:v>Source PR 10</x:v>
      </x:c>
      <x:c r="B35" s="12" t="str">
        <x:v>https://github.com/Michael-Ellis819/Virtual_Group_K_SEN381_Project/pull/10</x:v>
      </x:c>
      <x:c r="C35" s="12"/>
      <x:c r="D35" s="12"/>
      <x:c r="E35" s="12"/>
      <x:c r="F35" s="12"/>
      <x:c r="G35" s="12"/>
      <x:c r="H35" s="12"/>
      <x:c r="I35" s="12"/>
      <x:c r="J35" s="12"/>
      <x:c r="K35" s="12"/>
      <x:c r="L35" s="12"/>
    </x:row>
    <x:row r="36">
      <x:c r="A36" t="str">
        <x:v>Source PR 11</x:v>
      </x:c>
      <x:c r="B36" s="12" t="str">
        <x:v>https://github.com/Michael-Ellis819/Virtual_Group_K_SEN381_Project/pull/11</x:v>
      </x:c>
      <x:c r="C36" s="12"/>
      <x:c r="D36" s="12"/>
      <x:c r="E36" s="12"/>
      <x:c r="F36" s="12"/>
      <x:c r="G36" s="12"/>
      <x:c r="H36" s="12"/>
      <x:c r="I36" s="12"/>
      <x:c r="J36" s="12"/>
      <x:c r="K36" s="12"/>
      <x:c r="L36" s="12"/>
    </x:row>
    <x:row r="37">
      <x:c r="A37" t="str">
        <x:v>M1 history</x:v>
      </x:c>
      <x:c r="B37" s="12" t="str">
        <x:v>https://github.com/Michael-Ellis819/Virtual_Group_K_SEN381_Project/pull/3</x:v>
      </x:c>
      <x:c r="C37" s="12"/>
      <x:c r="D37" s="12"/>
      <x:c r="E37" s="12"/>
      <x:c r="F37" s="12"/>
      <x:c r="G37" s="12"/>
      <x:c r="H37" s="12"/>
      <x:c r="I37" s="12"/>
      <x:c r="J37" s="12"/>
      <x:c r="K37" s="12"/>
      <x:c r="L37" s="12"/>
    </x:row>
    <x:row r="38">
      <x:c r="A38" t="str">
        <x:v>Local evidence</x:v>
      </x:c>
      <x:c r="B38" s="12" t="str">
        <x:v>docs/evidence/local-verification.txt; checked 2026-09-30; 29 service/HTTP checks passed; fixture only</x:v>
      </x:c>
      <x:c r="C38" s="12"/>
      <x:c r="D38" s="12"/>
      <x:c r="E38" s="12"/>
      <x:c r="F38" s="12"/>
      <x:c r="G38" s="12"/>
      <x:c r="H38" s="12"/>
      <x:c r="I38" s="12"/>
      <x:c r="J38" s="12"/>
      <x:c r="K38" s="12"/>
      <x:c r="L38" s="12"/>
    </x:row>
  </x:sheetData>
  <x:mergeCells>
    <x:mergeCell ref="B31:F31"/>
    <x:mergeCell ref="B32:F32"/>
    <x:mergeCell ref="B33:F33"/>
    <x:mergeCell ref="B34:F34"/>
  </x:mergeCells>
  <x:dataValidations count="1">
    <x:dataValidation type="list" sqref="L2:L28">
      <x:formula1>"Planned,In Development,Implemented,Verification Failed,Verified"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11.670000076293945" hidden="0" customWidth="1"/>
    <x:col min="2" max="2" width="48.88999938964844" hidden="0" customWidth="1"/>
    <x:col min="3" max="3" width="10" hidden="0" customWidth="1"/>
    <x:col min="4" max="4" width="52.220001220703125" hidden="0" customWidth="1"/>
    <x:col min="5" max="5" width="52.220001220703125" hidden="0" customWidth="1"/>
  </x:cols>
  <x:sheetData>
    <x:row r="1" ht="34" customHeight="1">
      <x:c r="A1" s="5" t="str">
        <x:v>ID</x:v>
      </x:c>
      <x:c r="B1" s="5" t="str">
        <x:v>Requirement</x:v>
      </x:c>
      <x:c r="C1" s="5" t="str">
        <x:v>Priority</x:v>
      </x:c>
      <x:c r="D1" s="5" t="str">
        <x:v>Acceptance criterion 1</x:v>
      </x:c>
      <x:c r="E1" s="5" t="str">
        <x:v>Acceptance criterion 2</x:v>
      </x:c>
    </x:row>
    <x:row r="2" ht="42" customHeight="1">
      <x:c r="A2" s="3" t="str">
        <x:v>FR-001</x:v>
      </x:c>
      <x:c r="B2" s="3" t="str">
        <x:v>Allow requesters to submit a request with a category, description and location.</x:v>
      </x:c>
      <x:c r="C2" s="3" t="str">
        <x:v>High</x:v>
      </x:c>
      <x:c r="D2" s="3" t="str">
        <x:v>AC-FR-001-1: A valid submission saves one request with a unique reference, date and New status.</x:v>
      </x:c>
      <x:c r="E2" s="3" t="str">
        <x:v>AC-FR-001-2: Missing required fields or an invalid category are rejected without saving a request.</x:v>
      </x:c>
    </x:row>
    <x:row r="3" ht="42" customHeight="1">
      <x:c r="A3" s="6" t="str">
        <x:v>FR-002</x:v>
      </x:c>
      <x:c r="B3" s="6" t="str">
        <x:v>Use a predefined list of request categories.</x:v>
      </x:c>
      <x:c r="C3" s="6" t="str">
        <x:v>High</x:v>
      </x:c>
      <x:c r="D3" s="6" t="str">
        <x:v>AC-FR-002-1: A requester can select and save a category from the agreed list.</x:v>
      </x:c>
      <x:c r="E3" s="6" t="str">
        <x:v>AC-FR-002-2: An unlisted category is rejected; existing requests retain their saved category.</x:v>
      </x:c>
    </x:row>
    <x:row r="4" ht="42" customHeight="1">
      <x:c r="A4" s="3" t="str">
        <x:v>FR-003</x:v>
      </x:c>
      <x:c r="B4" s="3" t="str">
        <x:v>Allow requesters to view the current status of their own requests.</x:v>
      </x:c>
      <x:c r="C4" s="3" t="str">
        <x:v>High</x:v>
      </x:c>
      <x:c r="D4" s="3" t="str">
        <x:v>AC-FR-003-1: After an authorised update, the requester sees the saved status and update date.</x:v>
      </x:c>
      <x:c r="E4" s="3" t="str">
        <x:v>AC-FR-003-2: Entering another requester’s reference does not reveal its status or details.</x:v>
      </x:c>
    </x:row>
    <x:row r="5" ht="42" customHeight="1">
      <x:c r="A5" s="6" t="str">
        <x:v>FR-004</x:v>
      </x:c>
      <x:c r="B5" s="6" t="str">
        <x:v>Allow requesters to view their previous requests.</x:v>
      </x:c>
      <x:c r="C5" s="6" t="str">
        <x:v>Medium</x:v>
      </x:c>
      <x:c r="D5" s="6" t="str">
        <x:v>AC-FR-004-1: The list shows each own request’s reference, category, date and current status, including completed requests.</x:v>
      </x:c>
      <x:c r="E5" s="6" t="str">
        <x:v>AC-FR-004-2: Other users’ requests are excluded; an empty list displays a clear message.</x:v>
      </x:c>
    </x:row>
    <x:row r="6" ht="42" customHeight="1">
      <x:c r="A6" s="3" t="str">
        <x:v>FR-005</x:v>
      </x:c>
      <x:c r="B6" s="3" t="str">
        <x:v>Provide requester feedback when a request is accepted, rejected, updated or completed.</x:v>
      </x:c>
      <x:c r="C6" s="3" t="str">
        <x:v>Medium</x:v>
      </x:c>
      <x:c r="D6" s="3" t="str">
        <x:v>AC-FR-005-1: Each event produces feedback showing the event, date and current status; rejection and completion include a reason or summary.</x:v>
      </x:c>
      <x:c r="E6" s="3" t="str">
        <x:v>AC-FR-005-2: Feedback remains available later and excludes private staff notes and other users’ information.</x:v>
      </x:c>
    </x:row>
    <x:row r="7" ht="42" customHeight="1">
      <x:c r="A7" s="6" t="str">
        <x:v>FR-006</x:v>
      </x:c>
      <x:c r="B7" s="6" t="str">
        <x:v>Allow staff to view requests permitted by their role and assigned categories.</x:v>
      </x:c>
      <x:c r="C7" s="6" t="str">
        <x:v>High</x:v>
      </x:c>
      <x:c r="D7" s="6" t="str">
        <x:v>AC-FR-006-1: Staff see all and only the requests allowed by their permissions.</x:v>
      </x:c>
      <x:c r="E7" s="6" t="str">
        <x:v>AC-FR-006-2: Direct access to a request outside these permissions is denied.</x:v>
      </x:c>
    </x:row>
    <x:row r="8" ht="42" customHeight="1">
      <x:c r="A8" s="3" t="str">
        <x:v>FR-007</x:v>
      </x:c>
      <x:c r="B8" s="3" t="str">
        <x:v>Allow staff to search requests and filter by status, category, date and priority, and sort by date or priority.</x:v>
      </x:c>
      <x:c r="C8" s="3" t="str">
        <x:v>Medium</x:v>
      </x:c>
      <x:c r="D8" s="3" t="str">
        <x:v>AC-FR-007-1: Searches and combined filters return only matching authorised records, including both date-range boundaries.</x:v>
      </x:c>
      <x:c r="E8" s="3" t="str">
        <x:v>AC-FR-007-2: Sorting gives the expected order; clearing filters restores the list and no matches displays an empty result.</x:v>
      </x:c>
    </x:row>
    <x:row r="9" ht="42" customHeight="1">
      <x:c r="A9" s="6" t="str">
        <x:v>FR-008</x:v>
      </x:c>
      <x:c r="B9" s="6" t="str">
        <x:v>Allow authorised staff to view full request details.</x:v>
      </x:c>
      <x:c r="C9" s="6" t="str">
        <x:v>High</x:v>
      </x:c>
      <x:c r="D9" s="6" t="str">
        <x:v>AC-FR-008-1: Details show the reference, requester, category, description, location, date, status, priority, owner, due date and notes.</x:v>
      </x:c>
      <x:c r="E9" s="6" t="str">
        <x:v>AC-FR-008-2: Unauthorised users cannot open the same details; missing owner or due date is clearly shown.</x:v>
      </x:c>
    </x:row>
    <x:row r="10" ht="42" customHeight="1">
      <x:c r="A10" s="3" t="str">
        <x:v>FR-009</x:v>
      </x:c>
      <x:c r="B10" s="3" t="str">
        <x:v>Allow authorised staff to assign a request or accept responsibility for it.</x:v>
      </x:c>
      <x:c r="C10" s="3" t="str">
        <x:v>High</x:v>
      </x:c>
      <x:c r="D10" s="3" t="str">
        <x:v>AC-FR-009-1: Assignment records one eligible owner, the person making the change and the time.</x:v>
      </x:c>
      <x:c r="E10" s="3" t="str">
        <x:v>AC-FR-009-2: Ineligible owners are rejected; simultaneous attempts to claim a request cannot create two owners.</x:v>
      </x:c>
    </x:row>
    <x:row r="11" ht="42" customHeight="1">
      <x:c r="A11" s="6" t="str">
        <x:v>FR-010</x:v>
      </x:c>
      <x:c r="B11" s="6" t="str">
        <x:v>Allow request status changes only through the agreed lifecycle.</x:v>
      </x:c>
      <x:c r="C11" s="6" t="str">
        <x:v>High</x:v>
      </x:c>
      <x:c r="D11" s="6" t="str">
        <x:v>AC-FR-010-1: Allowed changes save the new status, previous status, actor and time.</x:v>
      </x:c>
      <x:c r="E11" s="6" t="str">
        <x:v>AC-FR-010-2: Invalid transitions and changes by unauthorised users are rejected without changing the request.</x:v>
      </x:c>
    </x:row>
    <x:row r="12" ht="42" customHeight="1">
      <x:c r="A12" s="3" t="str">
        <x:v>FR-011</x:v>
      </x:c>
      <x:c r="B12" s="3" t="str">
        <x:v>Allow staff to record comments, actions and resolution notes against a request.</x:v>
      </x:c>
      <x:c r="C12" s="3" t="str">
        <x:v>High</x:v>
      </x:c>
      <x:c r="D12" s="3" t="str">
        <x:v>AC-FR-011-1: A nonblank entry is saved with its author and time; blank entries are rejected.</x:v>
      </x:c>
      <x:c r="E12" s="3" t="str">
        <x:v>AC-FR-011-2: Requester-visible updates reach the requester; internal notes remain private and corrections preserve earlier entries.</x:v>
      </x:c>
    </x:row>
    <x:row r="13" ht="42" customHeight="1">
      <x:c r="A13" s="6" t="str">
        <x:v>FR-012</x:v>
      </x:c>
      <x:c r="B13" s="6" t="str">
        <x:v>Allow authorised staff to resolve and close requests.</x:v>
      </x:c>
      <x:c r="C13" s="6" t="str">
        <x:v>High</x:v>
      </x:c>
      <x:c r="D13" s="6" t="str">
        <x:v>AC-FR-012-1: Resolving an In Progress request requires a resolution summary and records the actor and time.</x:v>
      </x:c>
      <x:c r="E13" s="6" t="str">
        <x:v>AC-FR-012-2: Only an authorised user can close a Resolved request; other closure attempts are rejected.</x:v>
      </x:c>
    </x:row>
    <x:row r="14" ht="42" customHeight="1">
      <x:c r="A14" s="3" t="str">
        <x:v>FR-013</x:v>
      </x:c>
      <x:c r="B14" s="3" t="str">
        <x:v>Allow management to view counts of open, overdue, resolved and closed requests.</x:v>
      </x:c>
      <x:c r="C14" s="3" t="str">
        <x:v>Medium</x:v>
      </x:c>
      <x:c r="D14" s="3" t="str">
        <x:v>AC-FR-013-1: Counts match a known dataset using the stated lifecycle and overdue rules.</x:v>
      </x:c>
      <x:c r="E14" s="3" t="str">
        <x:v>AC-FR-013-2: Refreshing shows saved changes, including zero counts; requesters cannot access organisation-wide totals.</x:v>
      </x:c>
    </x:row>
    <x:row r="15" ht="42" customHeight="1">
      <x:c r="A15" s="6" t="str">
        <x:v>FR-014</x:v>
      </x:c>
      <x:c r="B15" s="6" t="str">
        <x:v>Allow management to view requests and counts by category and status.</x:v>
      </x:c>
      <x:c r="C15" s="6" t="str">
        <x:v>Medium</x:v>
      </x:c>
      <x:c r="D15" s="6" t="str">
        <x:v>AC-FR-014-1: Category and status selections show only matching requests and correct counts.</x:v>
      </x:c>
      <x:c r="E15" s="6" t="str">
        <x:v>AC-FR-014-2: Clearing selections restores the permitted overview; categories with no matches show zero.</x:v>
      </x:c>
    </x:row>
    <x:row r="16" ht="42" customHeight="1">
      <x:c r="A16" s="3" t="str">
        <x:v>FR-015</x:v>
      </x:c>
      <x:c r="B16" s="3" t="str">
        <x:v>Keep request history to support accountability and basic performance reporting.</x:v>
      </x:c>
      <x:c r="C16" s="3" t="str">
        <x:v>High</x:v>
      </x:c>
      <x:c r="D16" s="3" t="str">
        <x:v>AC-FR-015-1: History records creation, ownership, status, priority, due-date and note changes with actor and time.</x:v>
      </x:c>
      <x:c r="E16" s="3" t="str">
        <x:v>AC-FR-015-2: History survives restart and cannot be silently changed by ordinary users; timestamps support elapsed-time calculations.</x:v>
      </x:c>
    </x:row>
    <x:row r="17" ht="42" customHeight="1">
      <x:c r="A17" s="6" t="str">
        <x:v>FR-016</x:v>
      </x:c>
      <x:c r="B17" s="6" t="str">
        <x:v>Authenticate users and apply Requester, Staff and Management permissions.</x:v>
      </x:c>
      <x:c r="C17" s="6" t="str">
        <x:v>High</x:v>
      </x:c>
      <x:c r="D17" s="6" t="str">
        <x:v>AC-FR-016-1: Valid credentials for an enabled account grant the agreed access; invalid credentials grant no session.</x:v>
      </x:c>
      <x:c r="E17" s="6" t="str">
        <x:v>AC-FR-016-2: Signed-out users cannot access protected functions, and users cannot grant themselves extra permissions.</x:v>
      </x:c>
    </x:row>
    <x:row r="18" ht="42" customHeight="1">
      <x:c r="A18" s="3" t="str">
        <x:v>FR-017</x:v>
      </x:c>
      <x:c r="B18" s="3" t="str">
        <x:v>Record a controlled priority for each request and allow authorised staff to change it.</x:v>
      </x:c>
      <x:c r="C18" s="3" t="str">
        <x:v>Medium</x:v>
      </x:c>
      <x:c r="D18" s="3" t="str">
        <x:v>AC-FR-017-1: A new request receives the default priority; permitted changes are saved and appear in sorting and filtering.</x:v>
      </x:c>
      <x:c r="E18" s="3" t="str">
        <x:v>AC-FR-017-2: Unlisted priorities and requester attempts to change priority are rejected.</x:v>
      </x:c>
    </x:row>
    <x:row r="19" ht="42" customHeight="1">
      <x:c r="A19" s="6" t="str">
        <x:v>FR-018</x:v>
      </x:c>
      <x:c r="B19" s="6" t="str">
        <x:v>Allow staff to record due dates and identify overdue requests.</x:v>
      </x:c>
      <x:c r="C19" s="6" t="str">
        <x:v>Medium</x:v>
      </x:c>
      <x:c r="D19" s="6" t="str">
        <x:v>AC-FR-018-1: A valid due date and any change to it are saved with actor and time; invalid dates are rejected.</x:v>
      </x:c>
      <x:c r="E19" s="6" t="str">
        <x:v>AC-FR-018-2: Only open requests past their due time are overdue; requests without a due date are clearly marked.</x:v>
      </x:c>
    </x:row>
    <x:row r="20" ht="42" customHeight="1">
      <x:c r="A20" s="3" t="str">
        <x:v>NFR-001</x:v>
      </x:c>
      <x:c r="B20" s="3" t="str">
        <x:v>Protect requests using role and record-level access controls.</x:v>
      </x:c>
      <x:c r="C20" s="3" t="str">
        <x:v>High</x:v>
      </x:c>
      <x:c r="D20" s="3" t="str">
        <x:v>AC-NFR-001-1: The role/access test set produces zero unauthorised disclosures or changes, including direct requests.</x:v>
      </x:c>
      <x:c r="E20" s="3" t="str">
        <x:v>AC-NFR-001-2: Requester ownership and staff-category boundaries are enforced while authorised actions succeed.</x:v>
      </x:c>
    </x:row>
    <x:row r="21" ht="57" customHeight="1">
      <x:c r="A21" s="6" t="str">
        <x:v>NFR-002</x:v>
      </x:c>
      <x:c r="B21" s="6" t="str">
        <x:v>Complete at least 95% of submissions, status views, staff searches and management summaries within 3 seconds at pilot load, with at most 1% failures.</x:v>
      </x:c>
      <x:c r="C21" s="6" t="str">
        <x:v>Medium</x:v>
      </x:c>
      <x:c r="D21" s="6" t="str">
        <x:v>AC-NFR-002-1: Test with 10 concurrent users and 1,000 requests for 10 minutes after a 2-minute warm-up, with at least 100 runs per operation.</x:v>
      </x:c>
      <x:c r="E21" s="6" t="str">
        <x:v>AC-NFR-002-2: Measure each operation separately from user action to visible result; record failures, environment and cold-start time separately.</x:v>
      </x:c>
    </x:row>
    <x:row r="22" ht="42" customHeight="1">
      <x:c r="A22" s="3" t="str">
        <x:v>NFR-003</x:v>
      </x:c>
      <x:c r="B22" s="3" t="str">
        <x:v>Save request data and its history together without partial updates.</x:v>
      </x:c>
      <x:c r="C22" s="3" t="str">
        <x:v>High</x:v>
      </x:c>
      <x:c r="D22" s="3" t="str">
        <x:v>AC-NFR-003-1: A failed submission, assignment or status change leaves either the complete change or the previous state.</x:v>
      </x:c>
      <x:c r="E22" s="3" t="str">
        <x:v>AC-NFR-003-2: Saved records survive restart; a double-click submission does not create duplicate requests.</x:v>
      </x:c>
    </x:row>
    <x:row r="23" ht="42" customHeight="1">
      <x:c r="A23" s="6" t="str">
        <x:v>NFR-004</x:v>
      </x:c>
      <x:c r="B23" s="6" t="str">
        <x:v>Make request submission and status checking easy for users with basic digital skills.</x:v>
      </x:c>
      <x:c r="C23" s="6" t="str">
        <x:v>Medium</x:v>
      </x:c>
      <x:c r="D23" s="6" t="str">
        <x:v>AC-NFR-004-1: At least four of five representative participants submit a valid request and find its status within five minutes without coaching.</x:v>
      </x:c>
      <x:c r="E23" s="6" t="str">
        <x:v>AC-NFR-004-2: All participants use the same task; completion times and errors are recorded.</x:v>
      </x:c>
    </x:row>
    <x:row r="24" ht="42" customHeight="1">
      <x:c r="A24" s="3" t="str">
        <x:v>NFR-005</x:v>
      </x:c>
      <x:c r="B24" s="3" t="str">
        <x:v>Provide a responsive web interface that supports keyboard use.</x:v>
      </x:c>
      <x:c r="C24" s="3" t="str">
        <x:v>Medium</x:v>
      </x:c>
      <x:c r="D24" s="3" t="str">
        <x:v>AC-NFR-005-1: At 360 px and 1366 px viewport widths in Chrome and Edge, controls remain readable and usable without page-level horizontal scrolling.</x:v>
      </x:c>
      <x:c r="E24" s="3" t="str">
        <x:v>AC-NFR-005-2: Keyboard users can reach and operate core controls, see focus, submit a request and read validation errors.</x:v>
      </x:c>
    </x:row>
    <x:row r="25" ht="42" customHeight="1">
      <x:c r="A25" s="6" t="str">
        <x:v>NFR-006</x:v>
      </x:c>
      <x:c r="B25" s="6" t="str">
        <x:v>Use HTTPS to protect authentication and request data in deployed environments.</x:v>
      </x:c>
      <x:c r="C25" s="6" t="str">
        <x:v>High</x:v>
      </x:c>
      <x:c r="D25" s="6" t="str">
        <x:v>AC-NFR-006-1: Sign-in and protected pages use a valid certificate with no mixed-content requests.</x:v>
      </x:c>
      <x:c r="E25" s="6" t="str">
        <x:v>AC-NFR-006-2: HTTP is redirected or denied without protected content; application-generated credentials and request data use HTTPS only.</x:v>
      </x:c>
    </x:row>
    <x:row r="26" ht="42" customHeight="1">
      <x:c r="A26" s="3" t="str">
        <x:v>NFR-007</x:v>
      </x:c>
      <x:c r="B26" s="3" t="str">
        <x:v>Support recovery with no more than 24 hours of lost data and restoration within four hours.</x:v>
      </x:c>
      <x:c r="C26" s="3" t="str">
        <x:v>Medium</x:v>
      </x:c>
      <x:c r="D26" s="3" t="str">
        <x:v>AC-NFR-007-1: A restore test meets both targets and recovers consistent request, ownership, status and history records.</x:v>
      </x:c>
      <x:c r="E26" s="3" t="str">
        <x:v>AC-NFR-007-2: The backup age, restoration time and resulting records are recorded for verification.</x:v>
      </x:c>
    </x:row>
    <x:row r="27" ht="42" customHeight="1">
      <x:c r="A27" s="6" t="str">
        <x:v>NFR-008</x:v>
      </x:c>
      <x:c r="B27" s="6" t="str">
        <x:v>Keep sensitive information out of application logs and error messages.</x:v>
      </x:c>
      <x:c r="C27" s="6" t="str">
        <x:v>High</x:v>
      </x:c>
      <x:c r="D27" s="6" t="str">
        <x:v>AC-NFR-008-1: Tests using dummy secrets and private request content reveal none of that content in logs or user-facing errors.</x:v>
      </x:c>
      <x:c r="E27" s="6" t="str">
        <x:v>AC-NFR-008-2: Errors identify the failed action without exposing credentials, connection secrets or internal stack traces to users.</x:v>
      </x:c>
    </x:row>
    <x:row r="28" ht="42" customHeight="1">
      <x:c r="A28" s="3" t="str">
        <x:v>NFR-009</x:v>
      </x:c>
      <x:c r="B28" s="3" t="str">
        <x:v>Allow core request rules to be tested with controlled data in a separate test environment.</x:v>
      </x:c>
      <x:c r="C28" s="3" t="str">
        <x:v>High</x:v>
      </x:c>
      <x:c r="D28" s="3" t="str">
        <x:v>AC-NFR-009-1: Submission, access, assignment, status and reporting rules accept test inputs and produce observable results without production data.</x:v>
      </x:c>
      <x:c r="E28" s="3" t="str">
        <x:v>AC-NFR-009-2: Repeating a check from the same starting state gives the same outcome; deliberately invalid behaviour is detected.</x:v>
      </x:c>
    </x:row>
    <x:row r="31" ht="58" customHeight="1">
      <x:c r="A31" s="8" t="str">
        <x:v>Lifecycle</x:v>
      </x:c>
      <x:c r="B31" s="8" t="str">
        <x:v>Requests follow New → Assigned → In Progress → Resolved → Closed. A New request may be rejected with a recorded reason. Open means New, Assigned or In Progress. Reopening is not included.</x:v>
      </x:c>
      <x:c r="C31" s="8"/>
      <x:c r="D31" s="8"/>
      <x:c r="E31" s="8"/>
    </x:row>
    <x:row r="32" ht="58" customHeight="1">
      <x:c r="A32" s="8" t="str">
        <x:v>Permissions and feedback</x:v>
      </x:c>
      <x:c r="B32" s="8" t="str">
        <x:v>Requesters view their own requests and public updates. Staff access follows role/category permissions. Management accesses service reporting. Feedback is provided within the application; internal staff notes remain private. Email notifications are not included in the initial version.</x:v>
      </x:c>
      <x:c r="C32" s="8"/>
      <x:c r="D32" s="8"/>
      <x:c r="E32" s="8"/>
    </x:row>
    <x:row r="33" ht="58" customHeight="1">
      <x:c r="A33" s="8" t="str">
        <x:v>Priority and overdue rules</x:v>
      </x:c>
      <x:c r="B33" s="8" t="str">
        <x:v>Priorities are Low, Normal and High, with Normal as default. Authorised staff can change priorities and set due dates. An open request is overdue when its due time has passed. Requests without a due date are clearly identified and are not counted as overdue. Automatic escalation remains deferred.</x:v>
      </x:c>
      <x:c r="C33" s="8"/>
      <x:c r="D33" s="8"/>
      <x:c r="E33" s="8"/>
    </x:row>
    <x:row r="34" ht="58" customHeight="1">
      <x:c r="A34" s="8" t="str">
        <x:v>Categories</x:v>
      </x:c>
      <x:c r="B34" s="8" t="str">
        <x:v>The initial categories are Facility Faults, Damaged Equipment, Security Concerns, IT Support, Maintenance, Lost Property and Other. Each request must use one category from this list.</x:v>
      </x:c>
      <x:c r="C34" s="8"/>
      <x:c r="D34" s="8"/>
      <x:c r="E34" s="8"/>
    </x:row>
    <x:row r="35" ht="58" customHeight="1">
      <x:c r="A35" s="8" t="str">
        <x:v>Quality targets</x:v>
      </x:c>
      <x:c r="B35" s="8" t="str">
        <x:v>The numerical performance, usability and recovery targets in NFR-002, NFR-004 and NFR-007 are acceptance targets for the pilot. Hosting options will be assessed against them in M2. Target changes follow change control. Achievement will be demonstrated through testing in later milestones.</x:v>
      </x:c>
      <x:c r="C35" s="8"/>
      <x:c r="D35" s="8"/>
      <x:c r="E35" s="8"/>
    </x:row>
    <x:row r="36" ht="58" customHeight="1">
      <x:c r="A36" s="8" t="str">
        <x:v>Attachments</x:v>
      </x:c>
      <x:c r="B36" s="8" t="str">
        <x:v>File and photo uploads are deferred to future scope to limit storage, security and implementation work. Initial submissions contain a category, description and location.</x:v>
      </x:c>
      <x:c r="C36" s="8"/>
      <x:c r="D36" s="8"/>
      <x:c r="E36" s="8"/>
    </x:row>
    <x:row r="37" ht="58" customHeight="1">
      <x:c r="A37" s="8" t="str">
        <x:v>Scope boundaries</x:v>
      </x:c>
      <x:c r="B37" s="8" t="str">
        <x:v>External messaging integrations, payments, multi-tenant support and native apps are excluded from the initial version. Attachments, automated escalation, public APIs, AI categorisation and multilingual support remain future scope. Technology and architecture decisions will be addressed in M2.</x:v>
      </x:c>
      <x:c r="C37" s="8"/>
      <x:c r="D37" s="8"/>
      <x:c r="E37" s="8"/>
    </x:row>
  </x:sheetData>
  <x:mergeCells>
    <x:mergeCell ref="B31:E31"/>
    <x:mergeCell ref="B32:E32"/>
    <x:mergeCell ref="B33:E33"/>
    <x:mergeCell ref="B34:E34"/>
    <x:mergeCell ref="B35:E35"/>
    <x:mergeCell ref="B36:E36"/>
    <x:mergeCell ref="B37:E37"/>
  </x:mergeCells>
  <x:dataValidations count="1">
    <x:dataValidation type="list" sqref="C2:C28">
      <x:formula1>"High,Medium,Low"</x:formula1>
    </x:dataValidation>
  </x:dataValidations>
  <x:pageMargins left="0.7" right="0.7" top="0.75" bottom="0.75" header="0.3" footer="0.3"/>
</x:worksheet>
</file>