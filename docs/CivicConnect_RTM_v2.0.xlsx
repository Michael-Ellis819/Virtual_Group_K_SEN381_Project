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10ac863d644da4" /></Relationships>
</file>

<file path=xl/workbook.xml><?xml version="1.0" encoding="utf-8"?>
<x:workbook xmlns:x="http://schemas.openxmlformats.org/spreadsheetml/2006/main">
  <x:sheets>
    <x:sheet xmlns:r="http://schemas.openxmlformats.org/officeDocument/2006/relationships" name="RTM" sheetId="1" r:id="R9dc2dd3379a94e9b"/>
    <x:sheet xmlns:r="http://schemas.openxmlformats.org/officeDocument/2006/relationships" name="Requirements" sheetId="2" r:id="Rff3f11f5946f47f9"/>
  </x:sheets>
</x:workbook>
</file>

<file path=xl/sharedStrings.xml><?xml version="1.0" encoding="utf-8"?>
<x:sst xmlns:x="http://schemas.openxmlformats.org/spreadsheetml/2006/main">
  <x:si>
    <x:t xml:space="preserve">Requirement ID</x:t>
  </x:si>
  <x:si>
    <x:t xml:space="preserve">Requirement</x:t>
  </x:si>
  <x:si>
    <x:t xml:space="preserve">Stakeholder and source</x:t>
  </x:si>
  <x:si>
    <x:t xml:space="preserve">Scope reference</x:t>
  </x:si>
  <x:si>
    <x:t xml:space="preserve">Priority</x:t>
  </x:si>
  <x:si>
    <x:t xml:space="preserve">Acceptance IDs</x:t>
  </x:si>
  <x:si>
    <x:t xml:space="preserve">Design reference</x:t>
  </x:si>
  <x:si>
    <x:t xml:space="preserve">Issue / PR / code</x:t>
  </x:si>
  <x:si>
    <x:t xml:space="preserve">Test evidence</x:t>
  </x:si>
  <x:si>
    <x:t xml:space="preserve">Change reference</x:t>
  </x:si>
  <x:si>
    <x:t xml:space="preserve">Release evidence</x:t>
  </x:si>
  <x:si>
    <x:t xml:space="preserve">Implementation status</x:t>
  </x:si>
  <x:si>
    <x:t xml:space="preserve">ASR / quality driver</x:t>
  </x:si>
  <x:si>
    <x:t xml:space="preserve">Architecture / module</x:t>
  </x:si>
  <x:si>
    <x:t xml:space="preserve">Data / persistence impact</x:t>
  </x:si>
  <x:si>
    <x:t xml:space="preserve">Technology decision</x:t>
  </x:si>
  <x:si>
    <x:t xml:space="preserve">ADR / risk reference</x:t>
  </x:si>
  <x:si>
    <x:t xml:space="preserve">Current requirement wording</x:t>
  </x:si>
  <x:si>
    <x:t xml:space="preserve">Expected / observed result</x:t>
  </x:si>
  <x:si>
    <x:t xml:space="preserve">Defect or remaining acceptance gap</x:t>
  </x:si>
  <x:si>
    <x:t xml:space="preserve">M3 execution evidence</x:t>
  </x:si>
  <x:si>
    <x:t xml:space="preserve">Evidence date / executor</x:t>
  </x:si>
  <x:si>
    <x:t xml:space="preserve">FR-001</x:t>
  </x:si>
  <x:si>
    <x:t xml:space="preserve">Submit a service request</x:t>
  </x:si>
  <x:si>
    <x:t xml:space="preserve">Requester; PED §1.2, §2.1.1; MB §3 Requester</x:t>
  </x:si>
  <x:si>
    <x:t xml:space="preserve">SR-IN-01</x:t>
  </x:si>
  <x:si>
    <x:t xml:space="preserve">AC-FR-001-1; AC-FR-001-2</x:t>
  </x:si>
  <x:si>
    <x:t xml:space="preserve">ADR-M2-03; ADR-M2-04; ADR-M2-06; docs/decisions/README.md</x:t>
  </x:si>
  <x:si>
    <x:t xml:space="preserve">Planned. Design source PR #10 (architecture) / #11 (data/technology); no application implementation for this row.</x:t>
  </x:si>
  <x:si>
    <x:t xml:space="preserve">Creation and input validation not implemented</x:t>
  </x:si>
  <x:si>
    <x:t xml:space="preserve">M2 consolidation 2026-09-30; requirement/AC unchanged; M3 2026-10-13: evidence evolved; requirement/AC unchanged; CR-M3-C01.</x:t>
  </x:si>
  <x:si>
    <x:t xml:space="preserve">Planned</x:t>
  </x:si>
  <x:si>
    <x:t xml:space="preserve">Integrity; pilot performance</x:t>
  </x:si>
  <x:si>
    <x:t xml:space="preserve">Submission service (planned)</x:t>
  </x:si>
  <x:si>
    <x:t xml:space="preserve">ServiceRequest, Category, RequestHistory; atomic creation and idempotency</x:t>
  </x:si>
  <x:si>
    <x:t xml:space="preserve">ADR-M2-04: ASP.NET Core MVC/Razor; EF Core/Npgsql 8.0.11; PostgreSQL adapters/migrations implemented by Michael (PR14).</x:t>
  </x:si>
  <x:si>
    <x:t xml:space="preserve">R-015; R-036</x:t>
  </x:si>
  <x:si>
    <x:t xml:space="preserve">Not executed for complete acceptance.</x:t>
  </x:si>
  <x:si>
    <x:t xml:space="preserve">Request creation and input-validation endpoint absent.</x:t>
  </x:si>
  <x:si>
    <x:t xml:space="preserve">No complete M3 execution evidence; see docs/release-evidence.md.</x:t>
  </x:si>
  <x:si>
    <x:t xml:space="preserve">2026-10-13 evidence review.</x:t>
  </x:si>
  <x:si>
    <x:t xml:space="preserve">FR-002</x:t>
  </x:si>
  <x:si>
    <x:t xml:space="preserve">Controlled request categories</x:t>
  </x:si>
  <x:si>
    <x:t xml:space="preserve">Requester; Staff; PED §2.1.1, A-02; MB §3 Requester</x:t>
  </x:si>
  <x:si>
    <x:t xml:space="preserve">SR-IN-02</x:t>
  </x:si>
  <x:si>
    <x:t xml:space="preserve">AC-FR-002-1; AC-FR-002-2</x:t>
  </x:si>
  <x:si>
    <x:t xml:space="preserve">ADR-M2-03; ADR-M2-04; docs/decisions/README.md</x:t>
  </x:si>
  <x:si>
    <x:t xml:space="preserve">Controlled catalogue and persistent keys not implemented</x:t>
  </x:si>
  <x:si>
    <x:t xml:space="preserve">Integrity</x:t>
  </x:si>
  <x:si>
    <x:t xml:space="preserve">Category catalogue (planned)</x:t>
  </x:si>
  <x:si>
    <x:t xml:space="preserve">Category FK; retain referenced category</x:t>
  </x:si>
  <x:si>
    <x:t xml:space="preserve">R-019</x:t>
  </x:si>
  <x:si>
    <x:t xml:space="preserve">Controlled category catalogue/enforced category key absent.</x:t>
  </x:si>
  <x:si>
    <x:t xml:space="preserve">FR-003</x:t>
  </x:si>
  <x:si>
    <x:t xml:space="preserve">View own request status</x:t>
  </x:si>
  <x:si>
    <x:t xml:space="preserve">SR-IN-03</x:t>
  </x:si>
  <x:si>
    <x:t xml:space="preserve">AC-FR-003-1; AC-FR-003-2</x:t>
  </x:si>
  <x:si>
    <x:t xml:space="preserve">ADR-M2-01; ADR-M2-03; ADR-M2-04; ADR-M2-05; ADR-M2-06; docs/decisions/README.md</x:t>
  </x:si>
  <x:si>
    <x:t xml:space="preserve">E01/E02/A04; S01/S03/H04/H05/H07; passed 2026-10-13 where mapped; docs/testing-m3.md.</x:t>
  </x:si>
  <x:si>
    <x:t xml:space="preserve">In Development</x:t>
  </x:si>
  <x:si>
    <x:t xml:space="preserve">Access isolation</x:t>
  </x:si>
  <x:si>
    <x:t xml:space="preserve">RequestsController; RequestQueryService</x:t>
  </x:si>
  <x:si>
    <x:t xml:space="preserve">Michael EF Core/PostgreSQL reader and persisted synthetic requests/notes; authorised application projection.</x:t>
  </x:si>
  <x:si>
    <x:t xml:space="preserve">R-013; R-017</x:t>
  </x:si>
  <x:si>
    <x:t xml:space="preserve">Owner reads saved Closed status/time and permitted notes; foreign record returns 404.</x:t>
  </x:si>
  <x:si>
    <x:t xml:space="preserve">Full live account/UI acceptance pending. See docs/defects.md and technical-debt.md.</x:t>
  </x:si>
  <x:si>
    <x:t xml:space="preserve">docs/testing-m3.md; docs/evidence/m3/personal-20261013-181846/ (integration.txt, regression.txt, database.txt; mapped IDs in column I).</x:t>
  </x:si>
  <x:si>
    <x:t xml:space="preserve">2026-10-13 18:18-18:19 SAST; Cameron Purdon 601963; f774bf8.</x:t>
  </x:si>
  <x:si>
    <x:t xml:space="preserve">FR-004</x:t>
  </x:si>
  <x:si>
    <x:t xml:space="preserve">View own request history</x:t>
  </x:si>
  <x:si>
    <x:t xml:space="preserve">SR-IN-04</x:t>
  </x:si>
  <x:si>
    <x:t xml:space="preserve">AC-FR-004-1; AC-FR-004-2</x:t>
  </x:si>
  <x:si>
    <x:t xml:space="preserve">ADR-M2-03; ADR-M2-04; ADR-M2-05; ADR-M2-06; docs/decisions/README.md</x:t>
  </x:si>
  <x:si>
    <x:t xml:space="preserve">List/history query not implemented</x:t>
  </x:si>
  <x:si>
    <x:t xml:space="preserve">Requester history query (planned)</x:t>
  </x:si>
  <x:si>
    <x:t xml:space="preserve">Requester-scoped ServiceRequest collection</x:t>
  </x:si>
  <x:si>
    <x:t xml:space="preserve">R-013</x:t>
  </x:si>
  <x:si>
    <x:t xml:space="preserve">Own request history/list workflow absent.</x:t>
  </x:si>
  <x:si>
    <x:t xml:space="preserve">FR-005</x:t>
  </x:si>
  <x:si>
    <x:t xml:space="preserve">Requester feedback</x:t>
  </x:si>
  <x:si>
    <x:t xml:space="preserve">Requester; PED §2.1.1; §5.2 concern 5; MB §3 Requester</x:t>
  </x:si>
  <x:si>
    <x:t xml:space="preserve">SR-IN-05</x:t>
  </x:si>
  <x:si>
    <x:t xml:space="preserve">AC-FR-005-1; AC-FR-005-2</x:t>
  </x:si>
  <x:si>
    <x:t xml:space="preserve">ADR-M2-02; ADR-M2-03; ADR-M2-04; ADR-M2-06; docs/decisions/README.md</x:t>
  </x:si>
  <x:si>
    <x:t xml:space="preserve">E01/E02; passed 2026-10-13 where mapped; docs/testing-m3.md.</x:t>
  </x:si>
  <x:si>
    <x:t xml:space="preserve">Integrity; access isolation</x:t>
  </x:si>
  <x:si>
    <x:t xml:space="preserve">RequestStatusService; transactional public feedback; authorised feedback projection</x:t>
  </x:si>
  <x:si>
    <x:t xml:space="preserve">PostgreSQL status/history/public-note transaction and optimistic version; broader schema/acceptance gaps remain.</x:t>
  </x:si>
  <x:si>
    <x:t xml:space="preserve">R-027; R-028</x:t>
  </x:si>
  <x:si>
    <x:t xml:space="preserve">Status changes create persistent public feedback; rejection has a reason.</x:t>
  </x:si>
  <x:si>
    <x:t xml:space="preserve">Event/date presentation and full feedback scope pending. See docs/defects.md and technical-debt.md.</x:t>
  </x:si>
  <x:si>
    <x:t xml:space="preserve">FR-006</x:t>
  </x:si>
  <x:si>
    <x:t xml:space="preserve">Authorised staff request list</x:t>
  </x:si>
  <x:si>
    <x:t xml:space="preserve">Staff; PED §1.2, §2.1.1, §2.2.3; MB §3 Staff</x:t>
  </x:si>
  <x:si>
    <x:t xml:space="preserve">SR-IN-06</x:t>
  </x:si>
  <x:si>
    <x:t xml:space="preserve">AC-FR-006-1; AC-FR-006-2</x:t>
  </x:si>
  <x:si>
    <x:t xml:space="preserve">S05/H09/BB05; passed 2026-10-13 where mapped; docs/testing-m3.md.</x:t>
  </x:si>
  <x:si>
    <x:t xml:space="preserve">Staff list query (planned)</x:t>
  </x:si>
  <x:si>
    <x:t xml:space="preserve">Category permission filter before counts/pagination</x:t>
  </x:si>
  <x:si>
    <x:t xml:space="preserve">R-013; R-032</x:t>
  </x:si>
  <x:si>
    <x:t xml:space="preserve">Outside-category detail/mutation denied.</x:t>
  </x:si>
  <x:si>
    <x:t xml:space="preserve">Authorised staff list absent. See docs/defects.md and technical-debt.md.</x:t>
  </x:si>
  <x:si>
    <x:t xml:space="preserve">FR-007</x:t>
  </x:si>
  <x:si>
    <x:t xml:space="preserve">Search, filter and sort</x:t>
  </x:si>
  <x:si>
    <x:t xml:space="preserve">Staff; PED §2.1.1; MB §3 Staff</x:t>
  </x:si>
  <x:si>
    <x:t xml:space="preserve">SR-IN-07</x:t>
  </x:si>
  <x:si>
    <x:t xml:space="preserve">AC-FR-007-1; AC-FR-007-2</x:t>
  </x:si>
  <x:si>
    <x:t xml:space="preserve">No search, sorting or load evidence</x:t>
  </x:si>
  <x:si>
    <x:t xml:space="preserve">Pilot performance; access isolation</x:t>
  </x:si>
  <x:si>
    <x:t xml:space="preserve">Search/filter query (planned)</x:t>
  </x:si>
  <x:si>
    <x:t xml:space="preserve">Permission-constrained sort/filter/index strategy</x:t>
  </x:si>
  <x:si>
    <x:t xml:space="preserve">R-016; R-022</x:t>
  </x:si>
  <x:si>
    <x:t xml:space="preserve">Search/filter/sort workflow absent.</x:t>
  </x:si>
  <x:si>
    <x:t xml:space="preserve">FR-008</x:t>
  </x:si>
  <x:si>
    <x:t xml:space="preserve">Full request details</x:t>
  </x:si>
  <x:si>
    <x:t xml:space="preserve">SR-IN-08</x:t>
  </x:si>
  <x:si>
    <x:t xml:space="preserve">AC-FR-008-1; AC-FR-008-2</x:t>
  </x:si>
  <x:si>
    <x:t xml:space="preserve">S04/S05/H08/H09; database checks; passed 2026-10-13 where mapped; docs/testing-m3.md.</x:t>
  </x:si>
  <x:si>
    <x:t xml:space="preserve">Permitted staff sees internal notes; wrong category denied.</x:t>
  </x:si>
  <x:si>
    <x:t xml:space="preserve">Full details omit owner/priority/due-date/requester; AC1 incomplete. See docs/defects.md and technical-debt.md.</x:t>
  </x:si>
  <x:si>
    <x:t xml:space="preserve">FR-009</x:t>
  </x:si>
  <x:si>
    <x:t xml:space="preserve">Assign or accept ownership</x:t>
  </x:si>
  <x:si>
    <x:t xml:space="preserve">SR-IN-09</x:t>
  </x:si>
  <x:si>
    <x:t xml:space="preserve">AC-FR-009-1; AC-FR-009-2</x:t>
  </x:si>
  <x:si>
    <x:t xml:space="preserve">ADR-M2-02; ADR-M2-03; ADR-M2-04; ADR-M2-05; ADR-M2-06; docs/decisions/README.md</x:t>
  </x:si>
  <x:si>
    <x:t xml:space="preserve">Database concurrency mechanism and simultaneous-claim test pending</x:t>
  </x:si>
  <x:si>
    <x:t xml:space="preserve">Assignment service (planned)</x:t>
  </x:si>
  <x:si>
    <x:t xml:space="preserve">Conditional atomic owner update plus RequestHistory</x:t>
  </x:si>
  <x:si>
    <x:t xml:space="preserve">R-015</x:t>
  </x:si>
  <x:si>
    <x:t xml:space="preserve">Eligible owner assignment/concurrent claiming absent; Assigned status is not owner assignment.</x:t>
  </x:si>
  <x:si>
    <x:t xml:space="preserve">FR-010</x:t>
  </x:si>
  <x:si>
    <x:t xml:space="preserve">Controlled status transitions</x:t>
  </x:si>
  <x:si>
    <x:t xml:space="preserve">SR-IN-10</x:t>
  </x:si>
  <x:si>
    <x:t xml:space="preserve">AC-FR-010-1; AC-FR-010-2</x:t>
  </x:si>
  <x:si>
    <x:t xml:space="preserve">C01-C06; BB05; A03/A05/A06; E01/E02; passed 2026-10-13 where mapped; docs/testing-m3.md.</x:t>
  </x:si>
  <x:si>
    <x:t xml:space="preserve">Integrity; testability</x:t>
  </x:si>
  <x:si>
    <x:t xml:space="preserve">StatusTransitionService; six State classes; RequestStatusService</x:t>
  </x:si>
  <x:si>
    <x:t xml:space="preserve">R-011; R-027; R-047 closed for tested lifecycle; TD-04 closed for reviewed architecture (14 Oct 2026).</x:t>
  </x:si>
  <x:si>
    <x:t xml:space="preserve">Legal lifecycle saved with actor/time/history; invalid/unauthorised/stale changes rejected.</x:t>
  </x:si>
  <x:si>
    <x:t xml:space="preserve">FR-011</x:t>
  </x:si>
  <x:si>
    <x:t xml:space="preserve">Record actions and notes</x:t>
  </x:si>
  <x:si>
    <x:t xml:space="preserve">SR-IN-11</x:t>
  </x:si>
  <x:si>
    <x:t xml:space="preserve">AC-FR-011-1; AC-FR-011-2</x:t>
  </x:si>
  <x:si>
    <x:t xml:space="preserve">S02/H05; BB03/BB04; E01/E02; passed 2026-10-13 where mapped; docs/testing-m3.md.</x:t>
  </x:si>
  <x:si>
    <x:t xml:space="preserve">Access isolation; integrity</x:t>
  </x:si>
  <x:si>
    <x:t xml:space="preserve">RequestQueryService note projection; transactional status-related public-note writer; general note workflow unimplemented</x:t>
  </x:si>
  <x:si>
    <x:t xml:space="preserve">R-017</x:t>
  </x:si>
  <x:si>
    <x:t xml:space="preserve">Internal notes excluded from owner response; invalid feedback produces no writes.</x:t>
  </x:si>
  <x:si>
    <x:t xml:space="preserve">General note author/time/correction workflow absent. See docs/defects.md and technical-debt.md.</x:t>
  </x:si>
  <x:si>
    <x:t xml:space="preserve">FR-012</x:t>
  </x:si>
  <x:si>
    <x:t xml:space="preserve">Resolve and close requests</x:t>
  </x:si>
  <x:si>
    <x:t xml:space="preserve">SR-IN-12</x:t>
  </x:si>
  <x:si>
    <x:t xml:space="preserve">AC-FR-012-1; AC-FR-012-2</x:t>
  </x:si>
  <x:si>
    <x:t xml:space="preserve">E01/E02; C01/C02; passed 2026-10-13 where mapped; docs/testing-m3.md.</x:t>
  </x:si>
  <x:si>
    <x:t xml:space="preserve">RequestStatusService; State rules for resolution and closure; transactional history/feedback writer</x:t>
  </x:si>
  <x:si>
    <x:t xml:space="preserve">Staff resolves with summary then closes; terminal reopen denied.</x:t>
  </x:si>
  <x:si>
    <x:t xml:space="preserve">Broader live account/permission acceptance pending. See docs/defects.md and technical-debt.md.</x:t>
  </x:si>
  <x:si>
    <x:t xml:space="preserve">FR-013</x:t>
  </x:si>
  <x:si>
    <x:t xml:space="preserve">Service activity summary</x:t>
  </x:si>
  <x:si>
    <x:t xml:space="preserve">Management; PED §1.2, §2.1.1; MB §3 Management</x:t>
  </x:si>
  <x:si>
    <x:t xml:space="preserve">SR-IN-13</x:t>
  </x:si>
  <x:si>
    <x:t xml:space="preserve">AC-FR-013-1; AC-FR-013-2</x:t>
  </x:si>
  <x:si>
    <x:t xml:space="preserve">No report implementation</x:t>
  </x:si>
  <x:si>
    <x:t xml:space="preserve">Management reporting (planned)</x:t>
  </x:si>
  <x:si>
    <x:t xml:space="preserve">Aggregate status/open/overdue queries</x:t>
  </x:si>
  <x:si>
    <x:t xml:space="preserve">R-014; R-016</x:t>
  </x:si>
  <x:si>
    <x:t xml:space="preserve">Management service counts absent.</x:t>
  </x:si>
  <x:si>
    <x:t xml:space="preserve">FR-014</x:t>
  </x:si>
  <x:si>
    <x:t xml:space="preserve">Management category/status analysis</x:t>
  </x:si>
  <x:si>
    <x:t xml:space="preserve">Management; PED §2.1.1; MB §3 Management</x:t>
  </x:si>
  <x:si>
    <x:t xml:space="preserve">SR-IN-14</x:t>
  </x:si>
  <x:si>
    <x:t xml:space="preserve">AC-FR-014-1; AC-FR-014-2</x:t>
  </x:si>
  <x:si>
    <x:t xml:space="preserve">No grouping report implementation</x:t>
  </x:si>
  <x:si>
    <x:t xml:space="preserve">Management category/status report (planned)</x:t>
  </x:si>
  <x:si>
    <x:t xml:space="preserve">Aggregate Category/ServiceRequest grouping</x:t>
  </x:si>
  <x:si>
    <x:t xml:space="preserve">Management category/status analysis absent.</x:t>
  </x:si>
  <x:si>
    <x:t xml:space="preserve">FR-015</x:t>
  </x:si>
  <x:si>
    <x:t xml:space="preserve">Accountability and performance history</x:t>
  </x:si>
  <x:si>
    <x:t xml:space="preserve">Management; Staff; PED §1.2, §2.1.1; MB §3 Management</x:t>
  </x:si>
  <x:si>
    <x:t xml:space="preserve">SR-IN-15; SR-IN-11</x:t>
  </x:si>
  <x:si>
    <x:t xml:space="preserve">AC-FR-015-1; AC-FR-015-2</x:t>
  </x:si>
  <x:si>
    <x:t xml:space="preserve">E01; database checks; passed 2026-10-13 where mapped; docs/testing-m3.md.</x:t>
  </x:si>
  <x:si>
    <x:t xml:space="preserve">Accountability reporting (planned)</x:t>
  </x:si>
  <x:si>
    <x:t xml:space="preserve">R-014</x:t>
  </x:si>
  <x:si>
    <x:t xml:space="preserve">Four status audit edges with correct actor/time/version; history saved in PostgreSQL.</x:t>
  </x:si>
  <x:si>
    <x:t xml:space="preserve">Creation/ownership/priority/due-date/note history and restart/immutability checks pending. See docs/defects.md and technical-debt.md.</x:t>
  </x:si>
  <x:si>
    <x:t xml:space="preserve">FR-016</x:t>
  </x:si>
  <x:si>
    <x:t xml:space="preserve">Authenticated role access</x:t>
  </x:si>
  <x:si>
    <x:t xml:space="preserve">Requester; Staff; Management; PED §2.2.3; §5.2 concern 1; MB §16</x:t>
  </x:si>
  <x:si>
    <x:t xml:space="preserve">Cross-cutting: SR-IN-03, 06, 08, 12-15</x:t>
  </x:si>
  <x:si>
    <x:t xml:space="preserve">AC-FR-016-1; AC-FR-016-2</x:t>
  </x:si>
  <x:si>
    <x:t xml:space="preserve">A02/BB05; S07-S12/H02/H03; passed 2026-10-13 where mapped; docs/testing-m3.md.</x:t>
  </x:si>
  <x:si>
    <x:t xml:space="preserve">Framework cookie gate and RequestAccessPolicy</x:t>
  </x:si>
  <x:si>
    <x:t xml:space="preserve">Trusted principal claims; user store/provisioning planned</x:t>
  </x:si>
  <x:si>
    <x:t xml:space="preserve">R-013; R-031; R-032</x:t>
  </x:si>
  <x:si>
    <x:t xml:space="preserve">Signed-out calls return 401; ambiguous/inactive identities denied.</x:t>
  </x:si>
  <x:si>
    <x:t xml:space="preserve">Actual credential login/provisioning and permission freshness absent. See docs/defects.md and technical-debt.md.</x:t>
  </x:si>
  <x:si>
    <x:t xml:space="preserve">FR-017</x:t>
  </x:si>
  <x:si>
    <x:t xml:space="preserve">Request priority</x:t>
  </x:si>
  <x:si>
    <x:t xml:space="preserve">Staff; PED §2.1.1; MB §2 prioritisation need</x:t>
  </x:si>
  <x:si>
    <x:t xml:space="preserve">SR-IN-07; SR-IN-15</x:t>
  </x:si>
  <x:si>
    <x:t xml:space="preserve">AC-FR-017-1; AC-FR-017-2</x:t>
  </x:si>
  <x:si>
    <x:t xml:space="preserve">No priority mutation implementation</x:t>
  </x:si>
  <x:si>
    <x:t xml:space="preserve">Priority update service (planned)</x:t>
  </x:si>
  <x:si>
    <x:t xml:space="preserve">Controlled Low/Normal/High; default Normal</x:t>
  </x:si>
  <x:si>
    <x:t xml:space="preserve">R-036</x:t>
  </x:si>
  <x:si>
    <x:t xml:space="preserve">Controlled priority/default/update absent.</x:t>
  </x:si>
  <x:si>
    <x:t xml:space="preserve">FR-018</x:t>
  </x:si>
  <x:si>
    <x:t xml:space="preserve">Due dates and overdue identification</x:t>
  </x:si>
  <x:si>
    <x:t xml:space="preserve">Staff; Management; PED §2.1.1; MB §3 Management</x:t>
  </x:si>
  <x:si>
    <x:t xml:space="preserve">SR-IN-13; SR-IN-15</x:t>
  </x:si>
  <x:si>
    <x:t xml:space="preserve">AC-FR-018-1; AC-FR-018-2</x:t>
  </x:si>
  <x:si>
    <x:t xml:space="preserve">No due-date/overdue implementation</x:t>
  </x:si>
  <x:si>
    <x:t xml:space="preserve">Due-date service and overdue query (planned)</x:t>
  </x:si>
  <x:si>
    <x:t xml:space="preserve">Open states plus DueDate &lt; now; null not overdue</x:t>
  </x:si>
  <x:si>
    <x:t xml:space="preserve">Due-date/overdue calculation absent.</x:t>
  </x:si>
  <x:si>
    <x:t xml:space="preserve">NFR-001</x:t>
  </x:si>
  <x:si>
    <x:t xml:space="preserve">Access-control isolation</x:t>
  </x:si>
  <x:si>
    <x:t xml:space="preserve">Requester; Staff; Management; PED §2.2.2 Security; R-004; MB §16</x:t>
  </x:si>
  <x:si>
    <x:t xml:space="preserve">Cross-cutting: all protected scope</x:t>
  </x:si>
  <x:si>
    <x:t xml:space="preserve">AC-NFR-001-1; AC-NFR-001-2</x:t>
  </x:si>
  <x:si>
    <x:t xml:space="preserve">C03/BB05/A04/A06/E01/E02; S02-S12; passed 2026-10-13 where mapped; docs/testing-m3.md.</x:t>
  </x:si>
  <x:si>
    <x:t xml:space="preserve">RequestAccessPolicy and DTO projection</x:t>
  </x:si>
  <x:si>
    <x:t xml:space="preserve">R-013; R-017; R-032</x:t>
  </x:si>
  <x:si>
    <x:t xml:space="preserve">No unauthorised disclosure/change in selected role/record cases.</x:t>
  </x:si>
  <x:si>
    <x:t xml:space="preserve">Synthetic-ticket access matrix only; live permission freshness unverified. See docs/defects.md and technical-debt.md.</x:t>
  </x:si>
  <x:si>
    <x:t xml:space="preserve">NFR-002</x:t>
  </x:si>
  <x:si>
    <x:t xml:space="preserve">Pilot response time</x:t>
  </x:si>
  <x:si>
    <x:t xml:space="preserve">Requester; Staff; Management; PED A-03, §2.2.2 Quality/Cost; §5.2 concern 3; MB §4</x:t>
  </x:si>
  <x:si>
    <x:t xml:space="preserve">SR-IN-01; SR-IN-03; SR-IN-07; SR-IN-13</x:t>
  </x:si>
  <x:si>
    <x:t xml:space="preserve">AC-NFR-002-1; AC-NFR-002-2</x:t>
  </x:si>
  <x:si>
    <x:t xml:space="preserve">ADR-M2-01; ADR-M2-03; ADR-M2-04; docs/decisions/README.md</x:t>
  </x:si>
  <x:si>
    <x:t xml:space="preserve">PERF-01: 200 reads, max 10 concurrent; 200 successes, 0 errors; 1.62 ms mean, 0.41 ms median, 8.69 ms p95; 0.12 s; 1696.16 ops/sec.</x:t>
  </x:si>
  <x:si>
    <x:t xml:space="preserve">Pilot performance</x:t>
  </x:si>
  <x:si>
    <x:t xml:space="preserve">EfRequestReader; EF Core/PostgreSQL; separate concurrent-read benchmark</x:t>
  </x:si>
  <x:si>
    <x:t xml:space="preserve">One temporary request; separate DbContext per read; setup/cleanup excluded from measured workload.</x:t>
  </x:si>
  <x:si>
    <x:t xml:space="preserve">R-016; R-022; R-057; M3-R05</x:t>
  </x:si>
  <x:si>
    <x:t xml:space="preserve">No separate database-level target. Observed: 200/200 reads succeed; 1.62 ms mean, 8.69 ms p95. Full user-visible pilot acceptance not established.</x:t>
  </x:si>
  <x:si>
    <x:t xml:space="preserve">AC-NFR-002-1/2 unchanged: 1000 requests, 10 users, 10 minutes after 2-minute warm-up; user-visible timings/cold start untested. Exact execution commit not recorded.</x:t>
  </x:si>
  <x:si>
    <x:t xml:space="preserve">14 October 2026; Michael Ellis 600332; macOS; SDK 8.0.425; EF Core 8; PostgreSQL 17. Second run confirmed through Cameron.</x:t>
  </x:si>
  <x:si>
    <x:t xml:space="preserve">NFR-003</x:t>
  </x:si>
  <x:si>
    <x:t xml:space="preserve">Data integrity on save</x:t>
  </x:si>
  <x:si>
    <x:t xml:space="preserve">Requester; Staff; Management; PED §1.1; §7.1.2; MB §15</x:t>
  </x:si>
  <x:si>
    <x:t xml:space="preserve">SR-IN-01; SR-IN-09-12; SR-IN-15</x:t>
  </x:si>
  <x:si>
    <x:t xml:space="preserve">AC-NFR-003-1; AC-NFR-003-2</x:t>
  </x:si>
  <x:si>
    <x:t xml:space="preserve">A05/A06; E01; database checks; passed 2026-10-13 where mapped; docs/testing-m3.md.</x:t>
  </x:si>
  <x:si>
    <x:t xml:space="preserve">RequestStatusService; EfRequestStatusWriter; transaction and optimistic concurrency</x:t>
  </x:si>
  <x:si>
    <x:t xml:space="preserve">Failed status write rolls back; stale version rejected; saved effects agree.</x:t>
  </x:si>
  <x:si>
    <x:t xml:space="preserve">Submission/assignment/idempotency and complete process restart unverified. See docs/defects.md and technical-debt.md.</x:t>
  </x:si>
  <x:si>
    <x:t xml:space="preserve">NFR-004</x:t>
  </x:si>
  <x:si>
    <x:t xml:space="preserve">Requester usability</x:t>
  </x:si>
  <x:si>
    <x:t xml:space="preserve">Requester; PED §1.2, A-01; MB §5</x:t>
  </x:si>
  <x:si>
    <x:t xml:space="preserve">SR-IN-01; SR-IN-03; SR-IN-04</x:t>
  </x:si>
  <x:si>
    <x:t xml:space="preserve">AC-NFR-004-1; AC-NFR-004-2</x:t>
  </x:si>
  <x:si>
    <x:t xml:space="preserve">ADR-M2-01; ADR-M2-04; docs/decisions/README.md</x:t>
  </x:si>
  <x:si>
    <x:t xml:space="preserve">No representative participant evaluation</x:t>
  </x:si>
  <x:si>
    <x:t xml:space="preserve">Usability supports pilot scope</x:t>
  </x:si>
  <x:si>
    <x:t xml:space="preserve">Future requester UI</x:t>
  </x:si>
  <x:si>
    <x:t xml:space="preserve">No additional data decision</x:t>
  </x:si>
  <x:si>
    <x:t xml:space="preserve">R-021</x:t>
  </x:si>
  <x:si>
    <x:t xml:space="preserve">No five-participant usability exercise.</x:t>
  </x:si>
  <x:si>
    <x:t xml:space="preserve">NFR-005</x:t>
  </x:si>
  <x:si>
    <x:t xml:space="preserve">Responsive and keyboard-usable interface</x:t>
  </x:si>
  <x:si>
    <x:t xml:space="preserve">Requester; Staff; Management; PED §2.1.2; A-01; MB §5, §15</x:t>
  </x:si>
  <x:si>
    <x:t xml:space="preserve">Cross-cutting; responsive web scope</x:t>
  </x:si>
  <x:si>
    <x:t xml:space="preserve">AC-NFR-005-1; AC-NFR-005-2</x:t>
  </x:si>
  <x:si>
    <x:t xml:space="preserve">Landing exists; viewport/keyboard/core-route acceptance pending</x:t>
  </x:si>
  <x:si>
    <x:t xml:space="preserve">Accessibility/responsive presentation</x:t>
  </x:si>
  <x:si>
    <x:t xml:space="preserve">Razor landing; future functional views</x:t>
  </x:si>
  <x:si>
    <x:t xml:space="preserve">No representative responsive/keyboard workflow evaluation.</x:t>
  </x:si>
  <x:si>
    <x:t xml:space="preserve">NFR-006</x:t>
  </x:si>
  <x:si>
    <x:t xml:space="preserve">Protected data in transit</x:t>
  </x:si>
  <x:si>
    <x:t xml:space="preserve">Requester; Staff; Management; PED §2.2.2 Security; §5.2 concern 6; MB §16</x:t>
  </x:si>
  <x:si>
    <x:t xml:space="preserve">Cross-cutting: protected product data</x:t>
  </x:si>
  <x:si>
    <x:t xml:space="preserve">AC-NFR-006-1; AC-NFR-006-2</x:t>
  </x:si>
  <x:si>
    <x:t xml:space="preserve">ADR-M2-01; ADR-M2-03; ADR-M2-04; ADR-M2-06; docs/decisions/README.md</x:t>
  </x:si>
  <x:si>
    <x:t xml:space="preserve">M3 suite ran over HTTPS; passed 2026-10-13 where mapped; docs/testing-m3.md.</x:t>
  </x:si>
  <x:si>
    <x:t xml:space="preserve">Secure deployment constraint</x:t>
  </x:si>
  <x:si>
    <x:t xml:space="preserve">Future HTTPS host and cookie deployment</x:t>
  </x:si>
  <x:si>
    <x:t xml:space="preserve">TLS for protected HTTP and database traffic</x:t>
  </x:si>
  <x:si>
    <x:t xml:space="preserve">R-033</x:t>
  </x:si>
  <x:si>
    <x:t xml:space="preserve">Temporary loopback certificate and secure cookies used for test host.</x:t>
  </x:si>
  <x:si>
    <x:t xml:space="preserve">Real deployed certificate/HTTPS redirect and browser acceptance pending. See docs/defects.md and technical-debt.md.</x:t>
  </x:si>
  <x:si>
    <x:t xml:space="preserve">NFR-007</x:t>
  </x:si>
  <x:si>
    <x:t xml:space="preserve">Recoverable request records</x:t>
  </x:si>
  <x:si>
    <x:t xml:space="preserve">Project team; Management; PED §5.2 concern 7; §7.1; MB §17</x:t>
  </x:si>
  <x:si>
    <x:t xml:space="preserve">Cross-cutting: retained request/history data</x:t>
  </x:si>
  <x:si>
    <x:t xml:space="preserve">AC-NFR-007-1; AC-NFR-007-2</x:t>
  </x:si>
  <x:si>
    <x:t xml:space="preserve">RPO/RTO targets retained; no restore evidence</x:t>
  </x:si>
  <x:si>
    <x:t xml:space="preserve">Recovery constraint</x:t>
  </x:si>
  <x:si>
    <x:t xml:space="preserve">Future backup/restore process</x:t>
  </x:si>
  <x:si>
    <x:t xml:space="preserve">PostgreSQL backup and timed restore</x:t>
  </x:si>
  <x:si>
    <x:t xml:space="preserve">R-018; R-040</x:t>
  </x:si>
  <x:si>
    <x:t xml:space="preserve">No backup/restore measurement against RPO/RTO.</x:t>
  </x:si>
  <x:si>
    <x:t xml:space="preserve">NFR-008</x:t>
  </x:si>
  <x:si>
    <x:t xml:space="preserve">Privacy of logs and errors</x:t>
  </x:si>
  <x:si>
    <x:t xml:space="preserve">Requester; Staff; Management; PED §5.2 concern 6; R-004, R-005; MB §16</x:t>
  </x:si>
  <x:si>
    <x:t xml:space="preserve">Cross-cutting: restricted information</x:t>
  </x:si>
  <x:si>
    <x:t xml:space="preserve">AC-NFR-008-1; AC-NFR-008-2</x:t>
  </x:si>
  <x:si>
    <x:t xml:space="preserve">ADR-M2-01; ADR-M2-04; ADR-M2-05; ADR-M2-06; docs/decisions/README.md</x:t>
  </x:si>
  <x:si>
    <x:t xml:space="preserve">A05; H12/H13; passed 2026-10-13 where mapped; docs/testing-m3.md.</x:t>
  </x:si>
  <x:si>
    <x:t xml:space="preserve">Privacy and failure behaviour</x:t>
  </x:si>
  <x:si>
    <x:t xml:space="preserve">Safe error middleware; no private payload logging</x:t>
  </x:si>
  <x:si>
    <x:t xml:space="preserve">Filtered DTO; generic exception handling</x:t>
  </x:si>
  <x:si>
    <x:t xml:space="preserve">R-034; R-035</x:t>
  </x:si>
  <x:si>
    <x:t xml:space="preserve">500 does not disclose exception/private marker; responses no-store.</x:t>
  </x:si>
  <x:si>
    <x:t xml:space="preserve">Full dummy-secret/log-content audit pending. See docs/defects.md and technical-debt.md.</x:t>
  </x:si>
  <x:si>
    <x:t xml:space="preserve">NFR-009</x:t>
  </x:si>
  <x:si>
    <x:t xml:space="preserve">Testability of core business rules</x:t>
  </x:si>
  <x:si>
    <x:t xml:space="preserve">Project team; PED §5.2 concern 4; MB §15; M1 §4</x:t>
  </x:si>
  <x:si>
    <x:t xml:space="preserve">Cross-cutting: core request lifecycle</x:t>
  </x:si>
  <x:si>
    <x:t xml:space="preserve">AC-NFR-009-1; AC-NFR-009-2</x:t>
  </x:si>
  <x:si>
    <x:t xml:space="preserve">ADR-M2-01; ADR-M2-04; ADR-M2-05; ADR-M2-06; ADR-M2-07; docs/decisions/README.md</x:t>
  </x:si>
  <x:si>
    <x:t xml:space="preserve">C01-C06; BB01-BB05; A01-A06; E01/E02; passed 2026-10-13 where mapped; docs/testing-m3.md.</x:t>
  </x:si>
  <x:si>
    <x:t xml:space="preserve">Testability</x:t>
  </x:si>
  <x:si>
    <x:t xml:space="preserve">Injected reader/policy; verification executable</x:t>
  </x:si>
  <x:si>
    <x:t xml:space="preserve">Synthetic data with controlled store fault</x:t>
  </x:si>
  <x:si>
    <x:t xml:space="preserve">Repeatable core access/status cases; negative control fails forbidden transition.</x:t>
  </x:si>
  <x:si>
    <x:t xml:space="preserve">Source key</x:t>
  </x:si>
  <x:si>
    <x:t xml:space="preserve">PED = supplied PED1, sections 1.2 and 2.1–2.2. MB = SEN381 CivicConnect Master Project Brief, sections 3 and 11.</x:t>
  </x:si>
  <x:si>
    <x:t xml:space="preserve">RTM format</x:t>
  </x:si>
  <x:si>
    <x:t xml:space="preserve">Status</x:t>
  </x:si>
  <x:si>
    <x:t xml:space="preserve">Maintenance</x:t>
  </x:si>
  <x:si>
    <x:t xml:space="preserve">Keep requirement IDs stable. Update affected acceptance criteria and trace links when a change is approved. Add actual evidence links as work progresses.</x:t>
  </x:si>
  <x:si>
    <x:t xml:space="preserve">Source PR 10</x:t>
  </x:si>
  <x:si>
    <x:t xml:space="preserve">https://github.com/Michael-Ellis819/Virtual_Group_K_SEN381_Project/pull/10</x:t>
  </x:si>
  <x:si>
    <x:t xml:space="preserve">Source PR 11</x:t>
  </x:si>
  <x:si>
    <x:t xml:space="preserve">https://github.com/Michael-Ellis819/Virtual_Group_K_SEN381_Project/pull/11</x:t>
  </x:si>
  <x:si>
    <x:t xml:space="preserve">M1 history</x:t>
  </x:si>
  <x:si>
    <x:t xml:space="preserve">https://github.com/Michael-Ellis819/Virtual_Group_K_SEN381_Project/pull/3</x:t>
  </x:si>
  <x:si>
    <x:t xml:space="preserve">Local evidence</x:t>
  </x:si>
  <x:si>
    <x:t xml:space="preserve">docs/evidence/local-verification.txt; checked 2026-09-30; 29 service/HTTP checks passed; fixture only</x:t>
  </x:si>
  <x:si>
    <x:t xml:space="preserve">ID</x:t>
  </x:si>
  <x:si>
    <x:t xml:space="preserve">Acceptance criterion 1</x:t>
  </x:si>
  <x:si>
    <x:t xml:space="preserve">Acceptance criterion 2</x:t>
  </x:si>
  <x:si>
    <x:t xml:space="preserve">Allow requesters to submit a request with a category, description and location.</x:t>
  </x:si>
  <x:si>
    <x:t xml:space="preserve">High</x:t>
  </x:si>
  <x:si>
    <x:t xml:space="preserve">AC-FR-001-1: A valid submission saves one request with a unique reference, date and New status.</x:t>
  </x:si>
  <x:si>
    <x:t xml:space="preserve">AC-FR-001-2: Missing required fields or an invalid category are rejected without saving a request.</x:t>
  </x:si>
  <x:si>
    <x:t xml:space="preserve">Use a predefined list of request categories.</x:t>
  </x:si>
  <x:si>
    <x:t xml:space="preserve">AC-FR-002-1: A requester can select and save a category from the agreed list.</x:t>
  </x:si>
  <x:si>
    <x:t xml:space="preserve">AC-FR-002-2: An unlisted category is rejected; existing requests retain their saved category.</x:t>
  </x:si>
  <x:si>
    <x:t xml:space="preserve">Allow requesters to view the current status of their own requests.</x:t>
  </x:si>
  <x:si>
    <x:t xml:space="preserve">AC-FR-003-1: After an authorised update, the requester sees the saved status and update date.</x:t>
  </x:si>
  <x:si>
    <x:t xml:space="preserve">AC-FR-003-2: Entering another requester’s reference does not reveal its status or details.</x:t>
  </x:si>
  <x:si>
    <x:t xml:space="preserve">Allow requesters to view their previous requests.</x:t>
  </x:si>
  <x:si>
    <x:t xml:space="preserve">Medium</x:t>
  </x:si>
  <x:si>
    <x:t xml:space="preserve">AC-FR-004-1: The list shows each own request’s reference, category, date and current status, including completed requests.</x:t>
  </x:si>
  <x:si>
    <x:t xml:space="preserve">AC-FR-004-2: Other users’ requests are excluded; an empty list displays a clear message.</x:t>
  </x:si>
  <x:si>
    <x:t xml:space="preserve">Provide requester feedback when a request is accepted, rejected, updated or completed.</x:t>
  </x:si>
  <x:si>
    <x:t xml:space="preserve">AC-FR-005-1: Each event produces feedback showing the event, date and current status; rejection and completion include a reason or summary.</x:t>
  </x:si>
  <x:si>
    <x:t xml:space="preserve">AC-FR-005-2: Feedback remains available later and excludes private staff notes and other users’ information.</x:t>
  </x:si>
  <x:si>
    <x:t xml:space="preserve">Allow staff to view requests permitted by their role and assigned categories.</x:t>
  </x:si>
  <x:si>
    <x:t xml:space="preserve">AC-FR-006-1: Staff see all and only the requests allowed by their permissions.</x:t>
  </x:si>
  <x:si>
    <x:t xml:space="preserve">AC-FR-006-2: Direct access to a request outside these permissions is denied.</x:t>
  </x:si>
  <x:si>
    <x:t xml:space="preserve">Allow staff to search requests and filter by status, category, date and priority, and sort by date or priority.</x:t>
  </x:si>
  <x:si>
    <x:t xml:space="preserve">AC-FR-007-1: Searches and combined filters return only matching authorised records, including both date-range boundaries.</x:t>
  </x:si>
  <x:si>
    <x:t xml:space="preserve">AC-FR-007-2: Sorting gives the expected order; clearing filters restores the list and no matches displays an empty result.</x:t>
  </x:si>
  <x:si>
    <x:t xml:space="preserve">Allow authorised staff to view full request details.</x:t>
  </x:si>
  <x:si>
    <x:t xml:space="preserve">AC-FR-008-1: Details show the reference, requester, category, description, location, date, status, priority, owner, due date and notes.</x:t>
  </x:si>
  <x:si>
    <x:t xml:space="preserve">AC-FR-008-2: Unauthorised users cannot open the same details; missing owner or due date is clearly shown.</x:t>
  </x:si>
  <x:si>
    <x:t xml:space="preserve">Allow authorised staff to assign a request or accept responsibility for it.</x:t>
  </x:si>
  <x:si>
    <x:t xml:space="preserve">AC-FR-009-1: Assignment records one eligible owner, the person making the change and the time.</x:t>
  </x:si>
  <x:si>
    <x:t xml:space="preserve">AC-FR-009-2: Ineligible owners are rejected; simultaneous attempts to claim a request cannot create two owners.</x:t>
  </x:si>
  <x:si>
    <x:t xml:space="preserve">Allow request status changes only through the agreed lifecycle.</x:t>
  </x:si>
  <x:si>
    <x:t xml:space="preserve">AC-FR-010-1: Allowed changes save the new status, previous status, actor and time.</x:t>
  </x:si>
  <x:si>
    <x:t xml:space="preserve">AC-FR-010-2: Invalid transitions and changes by unauthorised users are rejected without changing the request.</x:t>
  </x:si>
  <x:si>
    <x:t xml:space="preserve">Allow staff to record comments, actions and resolution notes against a request.</x:t>
  </x:si>
  <x:si>
    <x:t xml:space="preserve">AC-FR-011-1: A nonblank entry is saved with its author and time; blank entries are rejected.</x:t>
  </x:si>
  <x:si>
    <x:t xml:space="preserve">AC-FR-011-2: Requester-visible updates reach the requester; internal notes remain private and corrections preserve earlier entries.</x:t>
  </x:si>
  <x:si>
    <x:t xml:space="preserve">Allow authorised staff to resolve and close requests.</x:t>
  </x:si>
  <x:si>
    <x:t xml:space="preserve">AC-FR-012-1: Resolving an In Progress request requires a resolution summary and records the actor and time.</x:t>
  </x:si>
  <x:si>
    <x:t xml:space="preserve">AC-FR-012-2: Only an authorised user can close a Resolved request; other closure attempts are rejected.</x:t>
  </x:si>
  <x:si>
    <x:t xml:space="preserve">Allow management to view counts of open, overdue, resolved and closed requests.</x:t>
  </x:si>
  <x:si>
    <x:t xml:space="preserve">AC-FR-013-1: Counts match a known dataset using the stated lifecycle and overdue rules.</x:t>
  </x:si>
  <x:si>
    <x:t xml:space="preserve">AC-FR-013-2: Refreshing shows saved changes, including zero counts; requesters cannot access organisation-wide totals.</x:t>
  </x:si>
  <x:si>
    <x:t xml:space="preserve">Allow management to view requests and counts by category and status.</x:t>
  </x:si>
  <x:si>
    <x:t xml:space="preserve">AC-FR-014-1: Category and status selections show only matching requests and correct counts.</x:t>
  </x:si>
  <x:si>
    <x:t xml:space="preserve">AC-FR-014-2: Clearing selections restores the permitted overview; categories with no matches show zero.</x:t>
  </x:si>
  <x:si>
    <x:t xml:space="preserve">Keep request history to support accountability and basic performance reporting.</x:t>
  </x:si>
  <x:si>
    <x:t xml:space="preserve">AC-FR-015-1: History records creation, ownership, status, priority, due-date and note changes with actor and time.</x:t>
  </x:si>
  <x:si>
    <x:t xml:space="preserve">AC-FR-015-2: History survives restart and cannot be silently changed by ordinary users; timestamps support elapsed-time calculations.</x:t>
  </x:si>
  <x:si>
    <x:t xml:space="preserve">Authenticate users and apply Requester, Staff and Management permissions.</x:t>
  </x:si>
  <x:si>
    <x:t xml:space="preserve">AC-FR-016-1: Valid credentials for an enabled account grant the agreed access; invalid credentials grant no session.</x:t>
  </x:si>
  <x:si>
    <x:t xml:space="preserve">AC-FR-016-2: Signed-out users cannot access protected functions, and users cannot grant themselves extra permissions.</x:t>
  </x:si>
  <x:si>
    <x:t xml:space="preserve">Record a controlled priority for each request and allow authorised staff to change it.</x:t>
  </x:si>
  <x:si>
    <x:t xml:space="preserve">AC-FR-017-1: A new request receives the default priority; permitted changes are saved and appear in sorting and filtering.</x:t>
  </x:si>
  <x:si>
    <x:t xml:space="preserve">AC-FR-017-2: Unlisted priorities and requester attempts to change priority are rejected.</x:t>
  </x:si>
  <x:si>
    <x:t xml:space="preserve">Allow staff to record due dates and identify overdue requests.</x:t>
  </x:si>
  <x:si>
    <x:t xml:space="preserve">AC-FR-018-1: A valid due date and any change to it are saved with actor and time; invalid dates are rejected.</x:t>
  </x:si>
  <x:si>
    <x:t xml:space="preserve">AC-FR-018-2: Only open requests past their due time are overdue; requests without a due date are clearly marked.</x:t>
  </x:si>
  <x:si>
    <x:t xml:space="preserve">Protect requests using role and record-level access controls.</x:t>
  </x:si>
  <x:si>
    <x:t xml:space="preserve">AC-NFR-001-1: The role/access test set produces zero unauthorised disclosures or changes, including direct requests.</x:t>
  </x:si>
  <x:si>
    <x:t xml:space="preserve">AC-NFR-001-2: Requester ownership and staff-category boundaries are enforced while authorised actions succeed.</x:t>
  </x:si>
  <x:si>
    <x:t xml:space="preserve">Complete at least 95% of submissions, status views, staff searches and management summaries within 3 seconds at pilot load, with at most 1% failures.</x:t>
  </x:si>
  <x:si>
    <x:t xml:space="preserve">AC-NFR-002-1: Test with 10 concurrent users and 1,000 requests for 10 minutes after a 2-minute warm-up, with at least 100 runs per operation.</x:t>
  </x:si>
  <x:si>
    <x:t xml:space="preserve">AC-NFR-002-2: Measure each operation separately from user action to visible result; record failures, environment and cold-start time separately.</x:t>
  </x:si>
  <x:si>
    <x:t xml:space="preserve">Save request data and its history together without partial updates.</x:t>
  </x:si>
  <x:si>
    <x:t xml:space="preserve">AC-NFR-003-1: A failed submission, assignment or status change leaves either the complete change or the previous state.</x:t>
  </x:si>
  <x:si>
    <x:t xml:space="preserve">AC-NFR-003-2: Saved records survive restart; a double-click submission does not create duplicate requests.</x:t>
  </x:si>
  <x:si>
    <x:t xml:space="preserve">Make request submission and status checking easy for users with basic digital skills.</x:t>
  </x:si>
  <x:si>
    <x:t xml:space="preserve">AC-NFR-004-1: At least four of five representative participants submit a valid request and find its status within five minutes without coaching.</x:t>
  </x:si>
  <x:si>
    <x:t xml:space="preserve">AC-NFR-004-2: All participants use the same task; completion times and errors are recorded.</x:t>
  </x:si>
  <x:si>
    <x:t xml:space="preserve">Provide a responsive web interface that supports keyboard use.</x:t>
  </x:si>
  <x:si>
    <x:t xml:space="preserve">AC-NFR-005-1: At 360 px and 1366 px viewport widths in Chrome and Edge, controls remain readable and usable without page-level horizontal scrolling.</x:t>
  </x:si>
  <x:si>
    <x:t xml:space="preserve">AC-NFR-005-2: Keyboard users can reach and operate core controls, see focus, submit a request and read validation errors.</x:t>
  </x:si>
  <x:si>
    <x:t xml:space="preserve">Use HTTPS to protect authentication and request data in deployed environments.</x:t>
  </x:si>
  <x:si>
    <x:t xml:space="preserve">AC-NFR-006-1: Sign-in and protected pages use a valid certificate with no mixed-content requests.</x:t>
  </x:si>
  <x:si>
    <x:t xml:space="preserve">AC-NFR-006-2: HTTP is redirected or denied without protected content; application-generated credentials and request data use HTTPS only.</x:t>
  </x:si>
  <x:si>
    <x:t xml:space="preserve">Support recovery with no more than 24 hours of lost data and restoration within four hours.</x:t>
  </x:si>
  <x:si>
    <x:t xml:space="preserve">AC-NFR-007-1: A restore test meets both targets and recovers consistent request, ownership, status and history records.</x:t>
  </x:si>
  <x:si>
    <x:t xml:space="preserve">AC-NFR-007-2: The backup age, restoration time and resulting records are recorded for verification.</x:t>
  </x:si>
  <x:si>
    <x:t xml:space="preserve">Keep sensitive information out of application logs and error messages.</x:t>
  </x:si>
  <x:si>
    <x:t xml:space="preserve">AC-NFR-008-1: Tests using dummy secrets and private request content reveal none of that content in logs or user-facing errors.</x:t>
  </x:si>
  <x:si>
    <x:t xml:space="preserve">AC-NFR-008-2: Errors identify the failed action without exposing credentials, connection secrets or internal stack traces to users.</x:t>
  </x:si>
  <x:si>
    <x:t xml:space="preserve">Allow core request rules to be tested with controlled data in a separate test environment.</x:t>
  </x:si>
  <x:si>
    <x:t xml:space="preserve">AC-NFR-009-1: Submission, access, assignment, status and reporting rules accept test inputs and produce observable results without production data.</x:t>
  </x:si>
  <x:si>
    <x:t xml:space="preserve">AC-NFR-009-2: Repeating a check from the same starting state gives the same outcome; deliberately invalid behaviour is detected.</x:t>
  </x:si>
  <x:si>
    <x:t xml:space="preserve">Lifecycle</x:t>
  </x:si>
  <x:si>
    <x:t xml:space="preserve">Requests follow New → Assigned → In Progress → Resolved → Closed. A New request may be rejected with a recorded reason. Open means New, Assigned or In Progress. Reopening is not included.</x:t>
  </x:si>
  <x:si>
    <x:t xml:space="preserve">Permissions and feedback</x:t>
  </x:si>
  <x:si>
    <x:t xml:space="preserve">Requesters view their own requests and public updates. Staff access follows role/category permissions. Management accesses service reporting. Feedback is provided within the application; internal staff notes remain private. Email notifications are not included in the initial version.</x:t>
  </x:si>
  <x:si>
    <x:t xml:space="preserve">Priority and overdue rules</x:t>
  </x:si>
  <x:si>
    <x:t xml:space="preserve">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x:t>
  </x:si>
  <x:si>
    <x:t xml:space="preserve">Categories</x:t>
  </x:si>
  <x:si>
    <x:t xml:space="preserve">The initial categories are Facility Faults, Damaged Equipment, Security Concerns, IT Support, Maintenance, Lost Property and Other. Each request must use one category from this list.</x:t>
  </x:si>
  <x:si>
    <x:t xml:space="preserve">Quality targets</x:t>
  </x:si>
  <x:si>
    <x:t xml:space="preserve">The numerical performance, usability and recovery targets in NFR-002, NFR-004 and NFR-007 are acceptance targets for the pilot. Hosting options will be assessed against them in M2. Target changes follow change control. Achievement will be demonstrated through testing in later milestones.</x:t>
  </x:si>
  <x:si>
    <x:t xml:space="preserve">Attachments</x:t>
  </x:si>
  <x:si>
    <x:t xml:space="preserve">File and photo uploads are deferred to future scope to limit storage, security and implementation work. Initial submissions contain a category, description and location.</x:t>
  </x:si>
  <x:si>
    <x:t xml:space="preserve">Scope boundaries</x:t>
  </x:si>
  <x:si>
    <x:t xml:space="preserve">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x:t>
  </x:si>
</x:sst>
</file>

<file path=xl/styles.xml><?xml version="1.0" encoding="utf-8"?>
<x:styleSheet xmlns:x="http://schemas.openxmlformats.org/spreadsheetml/2006/main">
  <x:numFmts count="2">
    <x:numFmt numFmtId="200" formatCode="0.0"/>
    <x:numFmt numFmtId="201" formatCode="0.0%"/>
  </x:numFmts>
  <x:fonts count="7">
    <x:font>
      <x:sz val="11"/>
      <x:name val="Carlito"/>
    </x:font>
    <x:font>
      <x:sz val="11"/>
      <x:color rgb="FF000000"/>
      <x:name val="Calibri"/>
      <x:family val="2"/>
    </x:font>
    <x:font>
      <x:b/>
      <x:sz val="11"/>
      <x:color rgb="FF000000"/>
      <x:name val="Calibri"/>
      <x:family val="2"/>
    </x:font>
    <x:font>
      <x:sz val="11"/>
      <x:name val="Calibri"/>
      <x:family val="2"/>
    </x:font>
    <x:font>
      <x:b/>
      <x:sz val="11"/>
      <x:name val="Calibri"/>
      <x:family val="2"/>
    </x:font>
    <x:font>
      <x:sz val="11"/>
      <x:name val="Calibri"/>
    </x:font>
    <x:font>
      <x:b/>
      <x:sz val="11"/>
      <x:name val="Calibri"/>
    </x:font>
  </x:fonts>
  <x:fills count="6">
    <x:fill>
      <x:patternFill patternType="none"/>
    </x:fill>
    <x:fill>
      <x:patternFill patternType="gray125"/>
    </x:fill>
    <x:fill>
      <x:patternFill patternType="solid">
        <x:fgColor rgb="FFE7E6E6"/>
      </x:patternFill>
    </x:fill>
    <x:fill>
      <x:patternFill patternType="solid">
        <x:fgColor rgb="FFFFFFFF"/>
      </x:patternFill>
    </x:fill>
    <x:fill>
      <x:patternFill patternType="solid">
        <x:fgColor rgb="FFF5F5F5"/>
      </x:patternFill>
    </x:fill>
    <x:fill>
      <x:patternFill patternType="solid">
        <x:fgColor rgb="FFD9D9D9"/>
      </x:patternFill>
    </x:fill>
  </x:fills>
  <x:borders count="1">
    <x:border>
      <x:left/>
      <x:right/>
      <x:top/>
      <x:bottom/>
      <x:diagonal/>
    </x:border>
  </x:borders>
  <x:cellStyleXfs count="1">
    <x:xf numFmtId="0" fontId="0" fillId="0" borderId="0"/>
  </x:cellStyleXfs>
  <x:cellXfs count="23">
    <x:xf numFmtId="0" fontId="0" fillId="0" borderId="0" xfId="0"/>
    <x:xf numFmtId="0" fontId="1" fillId="0" borderId="0" xfId="0" applyFont="1" applyAlignment="1">
      <x:alignment vertical="top" wrapText="1"/>
    </x:xf>
    <x:xf numFmtId="0" fontId="3" fillId="0" borderId="0" xfId="0" applyFont="1" applyAlignment="1">
      <x:alignment wrapText="1"/>
    </x:xf>
    <x:xf numFmtId="0" fontId="4" fillId="2" borderId="0" xfId="0" applyFont="1" applyFill="1" applyAlignment="1">
      <x:alignment wrapText="1"/>
    </x:xf>
    <x:xf numFmtId="0" fontId="0" fillId="0" borderId="0" xfId="0" applyAlignment="1">
      <x:alignment wrapText="1"/>
    </x:xf>
    <x:xf numFmtId="0" fontId="3" fillId="3" borderId="0" xfId="0" applyFont="1" applyFill="1" applyAlignment="1">
      <x:alignment vertical="top" wrapText="1"/>
    </x:xf>
    <x:xf numFmtId="0" fontId="3" fillId="4" borderId="0" xfId="0" applyFont="1" applyFill="1" applyAlignment="1">
      <x:alignment vertical="top" wrapText="1"/>
    </x:xf>
    <x:xf numFmtId="0" fontId="4" fillId="5" borderId="0" xfId="0" applyFont="1" applyFill="1" applyAlignment="1">
      <x:alignment vertical="top" wrapText="1"/>
    </x:xf>
    <x:xf numFmtId="0" fontId="0" fillId="0" borderId="0" xfId="0" applyAlignment="1">
      <x:alignment vertical="top" wrapText="1"/>
    </x:xf>
    <x:xf numFmtId="0" fontId="2" fillId="2" borderId="0" xfId="0" applyFont="1" applyFill="1" applyAlignment="1">
      <x:alignment vertical="top" wrapText="1"/>
    </x:xf>
    <x:xf numFmtId="0" fontId="1" fillId="4" borderId="0" xfId="0" applyFont="1" applyFill="1" applyAlignment="1">
      <x:alignment vertical="top" wrapText="1"/>
    </x:xf>
    <x:xf numFmtId="0" fontId="3" fillId="0" borderId="0" xfId="0" applyFont="1" applyAlignment="1">
      <x:alignment wrapText="1"/>
    </x:xf>
    <x:xf numFmtId="0" fontId="0" fillId="0" borderId="0" xfId="0"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1" fontId="0" fillId="0" borderId="0" xfId="0" applyNumberFormat="1" applyFont="1" applyFill="1" applyBorder="1"/>
    <x:xf numFmtId="201" fontId="0" fillId="0" borderId="0" xfId="0" applyNumberFormat="1" applyFont="1" applyFill="1" applyBorder="1" applyAlignment="1">
      <x:alignment wrapText="1"/>
    </x:xf>
    <x:xf numFmtId="0" fontId="5" fillId="0" borderId="0" xfId="0" applyNumberFormat="1" applyFont="1" applyFill="1" applyBorder="1" applyAlignment="1">
      <x:alignment wrapText="1"/>
    </x:xf>
    <x:xf numFmtId="201" fontId="5" fillId="0" borderId="0" xfId="0" applyNumberFormat="1" applyFont="1" applyFill="1" applyBorder="1" applyAlignment="1">
      <x:alignment wrapText="1"/>
    </x:xf>
    <x:xf numFmtId="201"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53cf1d958984ab0" /><Relationship Type="http://schemas.openxmlformats.org/officeDocument/2006/relationships/theme" Target="/xl/theme/theme1.xml" Id="R26baa07038eb41d2" /><Relationship Type="http://schemas.openxmlformats.org/officeDocument/2006/relationships/sharedStrings" Target="/xl/sharedStrings.xml" Id="Raf0ec3f5f19f4473" /><Relationship Type="http://schemas.openxmlformats.org/officeDocument/2006/relationships/worksheet" Target="/xl/worksheets/sheet1.xml" Id="R9dc2dd3379a94e9b" /><Relationship Type="http://schemas.openxmlformats.org/officeDocument/2006/relationships/worksheet" Target="/xl/worksheets/sheet2.xml" Id="Rff3f11f5946f47f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4.25"/>
  <x:cols>
    <x:col min="1" max="1" width="11.625" customWidth="1"/>
    <x:col min="2" max="2" width="26.125" customWidth="1"/>
    <x:col min="3" max="3" width="37.25" customWidth="1"/>
    <x:col min="4" max="4" width="27.75" customWidth="1"/>
    <x:col min="5" max="5" width="10" customWidth="1"/>
    <x:col min="6" max="6" width="32.25" customWidth="1"/>
    <x:col min="7" max="9" width="48" customWidth="1"/>
    <x:col min="10" max="10" width="32" customWidth="1"/>
    <x:col min="11" max="12" width="22" customWidth="1"/>
    <x:col min="13" max="13" width="32" customWidth="1"/>
    <x:col min="14" max="16" width="48" customWidth="1"/>
    <x:col min="17" max="17" width="32" customWidth="1"/>
    <x:col min="18" max="18" width="48" customWidth="1"/>
    <x:col min="19" max="21" width="65" customWidth="1"/>
    <x:col min="22" max="22" width="28" customWidth="1"/>
    <x:col min="23" max="23" width="32" hidden="0" customWidth="1"/>
    <x:col min="31" max="31" width="32" hidden="0" customWidth="1"/>
    <x:col min="24" max="24" width="20" hidden="0" customWidth="1"/>
    <x:col min="25" max="25" width="20" hidden="0" customWidth="1"/>
    <x:col min="26" max="26" width="14" hidden="0" customWidth="1"/>
    <x:col min="27" max="27" width="14" hidden="0" customWidth="1"/>
    <x:col min="28" max="28" width="14" hidden="0" customWidth="1"/>
    <x:col min="29" max="29" width="65" hidden="0" customWidth="1"/>
    <x:col min="30" max="30" width="65" hidden="0" customWidth="1"/>
  </x:cols>
  <x:sheetData>
    <x:row r="1" ht="42" customHeight="1">
      <x:c r="A1" s="9" t="s">
        <x:v>0</x:v>
      </x:c>
      <x:c r="B1" s="9" t="s">
        <x:v>1</x:v>
      </x:c>
      <x:c r="C1" s="9" t="s">
        <x:v>2</x:v>
      </x:c>
      <x:c r="D1" s="9" t="s">
        <x:v>3</x:v>
      </x:c>
      <x:c r="E1" s="9" t="s">
        <x:v>4</x:v>
      </x:c>
      <x:c r="F1" s="9" t="s">
        <x:v>5</x:v>
      </x:c>
      <x:c r="G1" s="9" t="s">
        <x:v>6</x:v>
      </x:c>
      <x:c r="H1" s="9" t="s">
        <x:v>7</x:v>
      </x:c>
      <x:c r="I1" s="9" t="s">
        <x:v>8</x:v>
      </x:c>
      <x:c r="J1" s="9" t="s">
        <x:v>9</x:v>
      </x:c>
      <x:c r="K1" s="9" t="s">
        <x:v>10</x:v>
      </x:c>
      <x:c r="L1" s="9" t="s">
        <x:v>11</x:v>
      </x:c>
      <x:c r="M1" s="3" t="s">
        <x:v>12</x:v>
      </x:c>
      <x:c r="N1" s="3" t="s">
        <x:v>13</x:v>
      </x:c>
      <x:c r="O1" s="3" t="s">
        <x:v>14</x:v>
      </x:c>
      <x:c r="P1" s="3" t="s">
        <x:v>15</x:v>
      </x:c>
      <x:c r="Q1" s="3" t="s">
        <x:v>16</x:v>
      </x:c>
      <x:c r="R1" s="3" t="s">
        <x:v>17</x:v>
      </x:c>
      <x:c r="S1" s="7" t="s">
        <x:v>18</x:v>
      </x:c>
      <x:c r="T1" s="7" t="s">
        <x:v>19</x:v>
      </x:c>
      <x:c r="U1" s="7" t="s">
        <x:v>20</x:v>
      </x:c>
      <x:c r="V1" s="7" t="s">
        <x:v>21</x:v>
      </x:c>
      <x:c r="W1" s="16" t="str">
        <x:v>M4 implementation checkpoint</x:v>
      </x:c>
      <x:c r="X1" s="16" t="str">
        <x:v>AC1 outcome</x:v>
      </x:c>
      <x:c r="Y1" s="16" t="str">
        <x:v>AC2 outcome</x:v>
      </x:c>
      <x:c r="Z1" s="16" t="str">
        <x:v>AC1 value</x:v>
      </x:c>
      <x:c r="AA1" s="16" t="str">
        <x:v>AC2 value</x:v>
      </x:c>
      <x:c r="AB1" s="16" t="str">
        <x:v>Requirement value</x:v>
      </x:c>
      <x:c r="AC1" s="16" t="str">
        <x:v>M4 evidence and scope</x:v>
      </x:c>
      <x:c r="AD1" s="16" t="str">
        <x:v>Remaining integration / acceptance gap</x:v>
      </x:c>
      <x:c r="AE1" s="16" t="str">
        <x:v>Checkpoint disposition</x:v>
      </x:c>
    </x:row>
    <x:row r="2" ht="95.0999984741211" customHeight="1">
      <x:c r="A2" s="1" t="s">
        <x:v>22</x:v>
      </x:c>
      <x:c r="B2" s="1" t="s">
        <x:v>23</x:v>
      </x:c>
      <x:c r="C2" s="1" t="s">
        <x:v>24</x:v>
      </x:c>
      <x:c r="D2" s="1" t="s">
        <x:v>25</x:v>
      </x:c>
      <x:c r="E2" s="1" t="str">
        <x:f>INDEX(Requirements!$C$2:$C$28,MATCH(A2,Requirements!$A$2:$A$28,0))</x:f>
        <x:v>High</x:v>
      </x:c>
      <x:c r="F2" s="1" t="s">
        <x:v>26</x:v>
      </x:c>
      <x:c r="G2" s="1" t="s">
        <x:v>27</x:v>
      </x:c>
      <x:c r="H2" s="1" t="s">
        <x:v>28</x:v>
      </x:c>
      <x:c r="I2" s="1" t="s">
        <x:v>29</x:v>
      </x:c>
      <x:c r="J2" s="1" t="s">
        <x:v>30</x:v>
      </x:c>
      <x:c r="K2" s="1" t="inlineStr">
        <x:is>
          <x:t xml:space="preserve">15 Oct 2026; 668795a; PR17/CI pass. CONDITIONALLY READY: agreed M3 read/status increment, simulated staging only. PED Section 14.</x:t>
        </x:is>
      </x:c>
      <x:c r="L2" s="1" t="s">
        <x:v>31</x:v>
      </x:c>
      <x:c r="M2" s="5" t="s">
        <x:v>32</x:v>
      </x:c>
      <x:c r="N2" s="5" t="s">
        <x:v>33</x:v>
      </x:c>
      <x:c r="O2" s="5" t="s">
        <x:v>34</x:v>
      </x:c>
      <x:c r="P2" s="5" t="s">
        <x:v>35</x:v>
      </x:c>
      <x:c r="Q2" s="5" t="s">
        <x:v>36</x:v>
      </x:c>
      <x:c r="R2" s="5" t="str">
        <x:f>INDEX(Requirements!$B$2:$B$28,MATCH(A2,Requirements!$A$2:$A$28,0))</x:f>
        <x:v>Allow requesters to submit a request with a category, description and location.</x:v>
      </x:c>
      <x:c r="S2" s="8" t="s">
        <x:v>37</x:v>
      </x:c>
      <x:c r="T2" s="8" t="s">
        <x:v>38</x:v>
      </x:c>
      <x:c r="U2" s="8" t="s">
        <x:v>39</x:v>
      </x:c>
      <x:c r="V2" s="8" t="s">
        <x:v>40</x:v>
      </x:c>
      <x:c r="W2" s="15" t="str">
        <x:v>PARTIALLY IMPLEMENTED</x:v>
      </x:c>
      <x:c r="X2" s="15" t="str">
        <x:v>Not Met</x:v>
      </x:c>
      <x:c r="Y2" s="15" t="str">
        <x:v>Partially Met</x:v>
      </x:c>
      <x:c r="Z2" s="17" t="n">
        <x:f>IF(X2="Met",1,IF(X2="Partially Met",0.5,IF(X2="Not Met",0,"Pending")))</x:f>
        <x:v>0</x:v>
      </x:c>
      <x:c r="AA2" s="17" t="n">
        <x:f>IF(Y2="Met",1,IF(Y2="Partially Met",0.5,IF(Y2="Not Met",0,"Pending")))</x:f>
        <x:v>0.5</x:v>
      </x:c>
      <x:c r="AB2" s="17" t="n">
        <x:f>IF(COUNT(Z2:AA2)=2,SUM(Z2:AA2),"Pending")</x:f>
        <x:v>0.5</x:v>
      </x:c>
      <x:c r="AC2" s="15" t="str">
        <x:v>Submission form and rejection boundaries tested; durable creation awaits the shared adapter. Evidence: docs/testing-m3.md; docs/evidence/m4-cameron-20261018/summary.md; PR20 where relevant.</x:v>
      </x:c>
      <x:c r="AD2" s="15" t="str">
        <x:v>Valid submissions cannot yet be saved by the normal product.</x:v>
      </x:c>
      <x:c r="AE2" s="15" t="str">
        <x:v>Not delivered</x:v>
      </x:c>
    </x:row>
    <x:row r="3" ht="95.0999984741211" customHeight="1">
      <x:c r="A3" s="10" t="s">
        <x:v>41</x:v>
      </x:c>
      <x:c r="B3" s="10" t="s">
        <x:v>42</x:v>
      </x:c>
      <x:c r="C3" s="10" t="s">
        <x:v>43</x:v>
      </x:c>
      <x:c r="D3" s="10" t="s">
        <x:v>44</x:v>
      </x:c>
      <x:c r="E3" s="10" t="str">
        <x:f>INDEX(Requirements!$C$2:$C$28,MATCH(A3,Requirements!$A$2:$A$28,0))</x:f>
        <x:v>High</x:v>
      </x:c>
      <x:c r="F3" s="10" t="s">
        <x:v>45</x:v>
      </x:c>
      <x:c r="G3" s="10" t="s">
        <x:v>46</x:v>
      </x:c>
      <x:c r="H3" s="10" t="s">
        <x:v>28</x:v>
      </x:c>
      <x:c r="I3" s="10" t="s">
        <x:v>47</x:v>
      </x:c>
      <x:c r="J3" s="10" t="s">
        <x:v>30</x:v>
      </x:c>
      <x:c r="K3" s="10" t="inlineStr">
        <x:is>
          <x:t xml:space="preserve">15 Oct 2026; 668795a; PR17/CI pass. CONDITIONALLY READY: agreed M3 read/status increment, simulated staging only. PED Section 14.</x:t>
        </x:is>
      </x:c>
      <x:c r="L3" s="10" t="s">
        <x:v>31</x:v>
      </x:c>
      <x:c r="M3" s="6" t="s">
        <x:v>48</x:v>
      </x:c>
      <x:c r="N3" s="6" t="s">
        <x:v>49</x:v>
      </x:c>
      <x:c r="O3" s="6" t="s">
        <x:v>50</x:v>
      </x:c>
      <x:c r="P3" s="6" t="s">
        <x:v>35</x:v>
      </x:c>
      <x:c r="Q3" s="6" t="s">
        <x:v>51</x:v>
      </x:c>
      <x:c r="R3" s="6" t="str">
        <x:f>INDEX(Requirements!$B$2:$B$28,MATCH(A3,Requirements!$A$2:$A$28,0))</x:f>
        <x:v>Use a predefined list of request categories.</x:v>
      </x:c>
      <x:c r="S3" s="8" t="s">
        <x:v>37</x:v>
      </x:c>
      <x:c r="T3" s="8" t="s">
        <x:v>52</x:v>
      </x:c>
      <x:c r="U3" s="8" t="s">
        <x:v>39</x:v>
      </x:c>
      <x:c r="V3" s="8" t="s">
        <x:v>40</x:v>
      </x:c>
      <x:c r="W3" s="15" t="str">
        <x:v>PARTIALLY IMPLEMENTED</x:v>
      </x:c>
      <x:c r="X3" s="15" t="str">
        <x:v>Partially Met</x:v>
      </x:c>
      <x:c r="Y3" s="15" t="str">
        <x:v>Partially Met</x:v>
      </x:c>
      <x:c r="Z3" s="17" t="n">
        <x:f>IF(X3="Met",1,IF(X3="Partially Met",0.5,IF(X3="Not Met",0,"Pending")))</x:f>
        <x:v>0.5</x:v>
      </x:c>
      <x:c r="AA3" s="17" t="n">
        <x:f>IF(Y3="Met",1,IF(Y3="Partially Met",0.5,IF(Y3="Not Met",0,"Pending")))</x:f>
        <x:v>0.5</x:v>
      </x:c>
      <x:c r="AB3" s="17" t="n">
        <x:f>IF(COUNT(Z3:AA3)=2,SUM(Z3:AA3),"Pending")</x:f>
        <x:v>1</x:v>
      </x:c>
      <x:c r="AC3" s="15" t="str">
        <x:v>Seven baseline categories offered; unlisted categories rejected by the controller. Evidence: docs/testing-m3.md; docs/evidence/m4-cameron-20261018/summary.md; PR20 where relevant.</x:v>
      </x:c>
      <x:c r="AD3" s="15" t="str">
        <x:v>Catalogue persistence and retention must be verified with Michael’s adapter.</x:v>
      </x:c>
      <x:c r="AE3" s="15" t="str">
        <x:v>Not delivered</x:v>
      </x:c>
    </x:row>
    <x:row r="4" ht="95.0999984741211" customHeight="1">
      <x:c r="A4" s="1" t="s">
        <x:v>53</x:v>
      </x:c>
      <x:c r="B4" s="1" t="s">
        <x:v>54</x:v>
      </x:c>
      <x:c r="C4" s="1" t="s">
        <x:v>24</x:v>
      </x:c>
      <x:c r="D4" s="1" t="s">
        <x:v>55</x:v>
      </x:c>
      <x:c r="E4" s="1" t="str">
        <x:f>INDEX(Requirements!$C$2:$C$28,MATCH(A4,Requirements!$A$2:$A$28,0))</x:f>
        <x:v>High</x:v>
      </x:c>
      <x:c r="F4" s="1" t="s">
        <x:v>56</x:v>
      </x:c>
      <x:c r="G4" s="1" t="s">
        <x:v>57</x:v>
      </x:c>
      <x:c r="H4" s="1" t="inlineStr">
        <x:is>
          <x:t xml:space="preserve">src/CivicConnect.Web/: RequestQueryService; RequestAccessPolicy; EfRequestReader; RequestStatusService. M2 PR12; M3 PR14; published combined implementation 668795a (PR17).</x:t>
        </x:is>
      </x:c>
      <x:c r="I4" s="1" t="s">
        <x:v>58</x:v>
      </x:c>
      <x:c r="J4" s="1" t="inlineStr">
        <x:is>
          <x:t xml:space="preserve">M2 requirement/AC unchanged; CR-M3-C01 retained. Bianca/Michael review and PR17 approvals: 14 Oct. Published 668795a; CI verified; docs 15 Oct 2026.</x:t>
        </x:is>
      </x:c>
      <x:c r="K4" s="1" t="inlineStr">
        <x:is>
          <x:t xml:space="preserve">15 Oct 2026; 668795a; PR17/CI pass. CONDITIONALLY READY: agreed M3 read/status increment, simulated staging only. PED Section 14.</x:t>
        </x:is>
      </x:c>
      <x:c r="L4" s="1" t="s">
        <x:v>59</x:v>
      </x:c>
      <x:c r="M4" s="5" t="s">
        <x:v>60</x:v>
      </x:c>
      <x:c r="N4" s="5" t="s">
        <x:v>61</x:v>
      </x:c>
      <x:c r="O4" s="5" t="s">
        <x:v>62</x:v>
      </x:c>
      <x:c r="P4" s="5" t="s">
        <x:v>35</x:v>
      </x:c>
      <x:c r="Q4" s="5" t="s">
        <x:v>63</x:v>
      </x:c>
      <x:c r="R4" s="5" t="str">
        <x:f>INDEX(Requirements!$B$2:$B$28,MATCH(A4,Requirements!$A$2:$A$28,0))</x:f>
        <x:v>Allow requesters to view the current status of their own requests.</x:v>
      </x:c>
      <x:c r="S4" s="8" t="s">
        <x:v>64</x:v>
      </x:c>
      <x:c r="T4" s="8" t="s">
        <x:v>65</x:v>
      </x:c>
      <x:c r="U4" s="8" t="s">
        <x:v>66</x:v>
      </x:c>
      <x:c r="V4" s="8" t="s">
        <x:v>67</x:v>
      </x:c>
      <x:c r="W4" s="15" t="str">
        <x:v>IMPLEMENTED</x:v>
      </x:c>
      <x:c r="X4" s="15" t="str">
        <x:v>Met</x:v>
      </x:c>
      <x:c r="Y4" s="15" t="str">
        <x:v>Met</x:v>
      </x:c>
      <x:c r="Z4" s="17" t="n">
        <x:f>IF(X4="Met",1,IF(X4="Partially Met",0.5,IF(X4="Not Met",0,"Pending")))</x:f>
        <x:v>1</x:v>
      </x:c>
      <x:c r="AA4" s="17" t="n">
        <x:f>IF(Y4="Met",1,IF(Y4="Partially Met",0.5,IF(Y4="Not Met",0,"Pending")))</x:f>
        <x:v>1</x:v>
      </x:c>
      <x:c r="AB4" s="17" t="n">
        <x:f>IF(COUNT(Z4:AA4)=2,SUM(Z4:AA4),"Pending")</x:f>
        <x:v>2</x:v>
      </x:c>
      <x:c r="AC4" s="15" t="str">
        <x:v>M3 E01/E02/A04 verify saved own status/date and foreign denial; Razor details added. Evidence: docs/testing-m3.md; docs/evidence/m4-cameron-20261018/summary.md; PR20 where relevant.</x:v>
      </x:c>
      <x:c r="AD4" s="15" t="str">
        <x:v>Real account adapter is still absent; this trace covers controlled read/status behaviour.</x:v>
      </x:c>
      <x:c r="AE4" s="15" t="str">
        <x:v>Verified</x:v>
      </x:c>
    </x:row>
    <x:row r="5" ht="95.0999984741211" customHeight="1">
      <x:c r="A5" s="10" t="s">
        <x:v>68</x:v>
      </x:c>
      <x:c r="B5" s="10" t="s">
        <x:v>69</x:v>
      </x:c>
      <x:c r="C5" s="10" t="s">
        <x:v>24</x:v>
      </x:c>
      <x:c r="D5" s="10" t="s">
        <x:v>70</x:v>
      </x:c>
      <x:c r="E5" s="10" t="str">
        <x:f>INDEX(Requirements!$C$2:$C$28,MATCH(A5,Requirements!$A$2:$A$28,0))</x:f>
        <x:v>Medium</x:v>
      </x:c>
      <x:c r="F5" s="10" t="s">
        <x:v>71</x:v>
      </x:c>
      <x:c r="G5" s="10" t="s">
        <x:v>72</x:v>
      </x:c>
      <x:c r="H5" s="10" t="s">
        <x:v>28</x:v>
      </x:c>
      <x:c r="I5" s="10" t="s">
        <x:v>73</x:v>
      </x:c>
      <x:c r="J5" s="10" t="s">
        <x:v>30</x:v>
      </x:c>
      <x:c r="K5" s="10" t="inlineStr">
        <x:is>
          <x:t xml:space="preserve">15 Oct 2026; 668795a; PR17/CI pass. CONDITIONALLY READY: agreed M3 read/status increment, simulated staging only. PED Section 14.</x:t>
        </x:is>
      </x:c>
      <x:c r="L5" s="10" t="s">
        <x:v>31</x:v>
      </x:c>
      <x:c r="M5" s="6" t="s">
        <x:v>60</x:v>
      </x:c>
      <x:c r="N5" s="6" t="s">
        <x:v>74</x:v>
      </x:c>
      <x:c r="O5" s="6" t="s">
        <x:v>75</x:v>
      </x:c>
      <x:c r="P5" s="6" t="s">
        <x:v>35</x:v>
      </x:c>
      <x:c r="Q5" s="6" t="s">
        <x:v>76</x:v>
      </x:c>
      <x:c r="R5" s="6" t="str">
        <x:f>INDEX(Requirements!$B$2:$B$28,MATCH(A5,Requirements!$A$2:$A$28,0))</x:f>
        <x:v>Allow requesters to view their previous requests.</x:v>
      </x:c>
      <x:c r="S5" s="8" t="s">
        <x:v>37</x:v>
      </x:c>
      <x:c r="T5" s="8" t="s">
        <x:v>77</x:v>
      </x:c>
      <x:c r="U5" s="8" t="s">
        <x:v>39</x:v>
      </x:c>
      <x:c r="V5" s="8" t="s">
        <x:v>40</x:v>
      </x:c>
      <x:c r="W5" s="15" t="str">
        <x:v>PARTIALLY IMPLEMENTED</x:v>
      </x:c>
      <x:c r="X5" s="15" t="str">
        <x:v>Not Met</x:v>
      </x:c>
      <x:c r="Y5" s="15" t="str">
        <x:v>Not Met</x:v>
      </x:c>
      <x:c r="Z5" s="17" t="n">
        <x:f>IF(X5="Met",1,IF(X5="Partially Met",0.5,IF(X5="Not Met",0,"Pending")))</x:f>
        <x:v>0</x:v>
      </x:c>
      <x:c r="AA5" s="17" t="n">
        <x:f>IF(Y5="Met",1,IF(Y5="Partially Met",0.5,IF(Y5="Not Met",0,"Pending")))</x:f>
        <x:v>0</x:v>
      </x:c>
      <x:c r="AB5" s="17" t="n">
        <x:f>IF(COUNT(Z5:AA5)=2,SUM(Z5:AA5),"Pending")</x:f>
        <x:v>0</x:v>
      </x:c>
      <x:c r="AC5" s="15" t="str">
        <x:v>Requester list view and ownership contract exercised with synthetic records. Evidence: docs/testing-m3.md; docs/evidence/m4-cameron-20261018/summary.md; PR20 where relevant.</x:v>
      </x:c>
      <x:c r="AD5" s="15" t="str">
        <x:v>Persistent requester list and empty/history cases await integration.</x:v>
      </x:c>
      <x:c r="AE5" s="15" t="str">
        <x:v>Not delivered</x:v>
      </x:c>
    </x:row>
    <x:row r="6" ht="95.0999984741211" customHeight="1">
      <x:c r="A6" s="1" t="s">
        <x:v>78</x:v>
      </x:c>
      <x:c r="B6" s="1" t="s">
        <x:v>79</x:v>
      </x:c>
      <x:c r="C6" s="1" t="s">
        <x:v>80</x:v>
      </x:c>
      <x:c r="D6" s="1" t="s">
        <x:v>81</x:v>
      </x:c>
      <x:c r="E6" s="1" t="str">
        <x:f>INDEX(Requirements!$C$2:$C$28,MATCH(A6,Requirements!$A$2:$A$28,0))</x:f>
        <x:v>Medium</x:v>
      </x:c>
      <x:c r="F6" s="1" t="s">
        <x:v>82</x:v>
      </x:c>
      <x:c r="G6" s="1" t="s">
        <x:v>83</x:v>
      </x:c>
      <x:c r="H6" s="1" t="inlineStr">
        <x:is>
          <x:t xml:space="preserve">src/CivicConnect.Web/: RequestStatusService; EfRequestStatusWriter; EfRequestReader. M2 PR12; M3 PR14; published combined implementation 668795a (PR17).</x:t>
        </x:is>
      </x:c>
      <x:c r="I6" s="1" t="s">
        <x:v>84</x:v>
      </x:c>
      <x:c r="J6" s="1" t="inlineStr">
        <x:is>
          <x:t xml:space="preserve">M2 requirement/AC unchanged; CR-M3-C01 retained. Bianca/Michael review and PR17 approvals: 14 Oct. Published 668795a; CI verified; docs 15 Oct 2026.</x:t>
        </x:is>
      </x:c>
      <x:c r="K6" s="1" t="inlineStr">
        <x:is>
          <x:t xml:space="preserve">15 Oct 2026; 668795a; PR17/CI pass. CONDITIONALLY READY: agreed M3 read/status increment, simulated staging only. PED Section 14.</x:t>
        </x:is>
      </x:c>
      <x:c r="L6" s="1" t="s">
        <x:v>59</x:v>
      </x:c>
      <x:c r="M6" s="5" t="s">
        <x:v>85</x:v>
      </x:c>
      <x:c r="N6" s="5" t="s">
        <x:v>86</x:v>
      </x:c>
      <x:c r="O6" s="5" t="s">
        <x:v>87</x:v>
      </x:c>
      <x:c r="P6" s="5" t="s">
        <x:v>35</x:v>
      </x:c>
      <x:c r="Q6" s="5" t="s">
        <x:v>88</x:v>
      </x:c>
      <x:c r="R6" s="5" t="str">
        <x:f>INDEX(Requirements!$B$2:$B$28,MATCH(A6,Requirements!$A$2:$A$28,0))</x:f>
        <x:v>Provide requester feedback when a request is accepted, rejected, updated or completed.</x:v>
      </x:c>
      <x:c r="S6" s="8" t="s">
        <x:v>89</x:v>
      </x:c>
      <x:c r="T6" s="8" t="s">
        <x:v>90</x:v>
      </x:c>
      <x:c r="U6" s="8" t="s">
        <x:v>66</x:v>
      </x:c>
      <x:c r="V6" s="8" t="s">
        <x:v>67</x:v>
      </x:c>
      <x:c r="W6" s="15" t="str">
        <x:v>PARTIALLY IMPLEMENTED</x:v>
      </x:c>
      <x:c r="X6" s="15" t="str">
        <x:v>Partially Met</x:v>
      </x:c>
      <x:c r="Y6" s="15" t="str">
        <x:v>Met</x:v>
      </x:c>
      <x:c r="Z6" s="17" t="n">
        <x:f>IF(X6="Met",1,IF(X6="Partially Met",0.5,IF(X6="Not Met",0,"Pending")))</x:f>
        <x:v>0.5</x:v>
      </x:c>
      <x:c r="AA6" s="17" t="n">
        <x:f>IF(Y6="Met",1,IF(Y6="Partially Met",0.5,IF(Y6="Not Met",0,"Pending")))</x:f>
        <x:v>1</x:v>
      </x:c>
      <x:c r="AB6" s="17" t="n">
        <x:f>IF(COUNT(Z6:AA6)=2,SUM(Z6:AA6),"Pending")</x:f>
        <x:v>1.5</x:v>
      </x:c>
      <x:c r="AC6" s="15" t="str">
        <x:v>Status feedback persists; requester projection excludes internal notes. Evidence: docs/testing-m3.md; docs/evidence/m4-cameron-20261018/summary.md; PR20 where relevant.</x:v>
      </x:c>
      <x:c r="AD6" s="15" t="str">
        <x:v>Dated feedback for every required event is not yet available in the product.</x:v>
      </x:c>
      <x:c r="AE6" s="15" t="str">
        <x:v>Not delivered</x:v>
      </x:c>
    </x:row>
    <x:row r="7" ht="95.0999984741211" customHeight="1">
      <x:c r="A7" s="10" t="s">
        <x:v>91</x:v>
      </x:c>
      <x:c r="B7" s="10" t="s">
        <x:v>92</x:v>
      </x:c>
      <x:c r="C7" s="10" t="s">
        <x:v>93</x:v>
      </x:c>
      <x:c r="D7" s="10" t="s">
        <x:v>94</x:v>
      </x:c>
      <x:c r="E7" s="10" t="str">
        <x:f>INDEX(Requirements!$C$2:$C$28,MATCH(A7,Requirements!$A$2:$A$28,0))</x:f>
        <x:v>High</x:v>
      </x:c>
      <x:c r="F7" s="10" t="s">
        <x:v>95</x:v>
      </x:c>
      <x:c r="G7" s="10" t="s">
        <x:v>72</x:v>
      </x:c>
      <x:c r="H7" s="10" t="inlineStr">
        <x:is>
          <x:t xml:space="preserve">src/CivicConnect.Web/: RequestAccessPolicy; request detail boundary only. M2 PR12; M3 PR14; published combined implementation 668795a (PR17).</x:t>
        </x:is>
      </x:c>
      <x:c r="I7" s="10" t="s">
        <x:v>96</x:v>
      </x:c>
      <x:c r="J7" s="10" t="inlineStr">
        <x:is>
          <x:t xml:space="preserve">M2 requirement/AC unchanged; CR-M3-C01 retained. Bianca/Michael review and PR17 approvals: 14 Oct. Published 668795a; CI verified; docs 15 Oct 2026.</x:t>
        </x:is>
      </x:c>
      <x:c r="K7" s="10" t="inlineStr">
        <x:is>
          <x:t xml:space="preserve">15 Oct 2026; 668795a; PR17/CI pass. CONDITIONALLY READY: agreed M3 read/status increment, simulated staging only. PED Section 14.</x:t>
        </x:is>
      </x:c>
      <x:c r="L7" s="10" t="s">
        <x:v>59</x:v>
      </x:c>
      <x:c r="M7" s="6" t="s">
        <x:v>60</x:v>
      </x:c>
      <x:c r="N7" s="6" t="s">
        <x:v>97</x:v>
      </x:c>
      <x:c r="O7" s="6" t="s">
        <x:v>98</x:v>
      </x:c>
      <x:c r="P7" s="6" t="s">
        <x:v>35</x:v>
      </x:c>
      <x:c r="Q7" s="6" t="s">
        <x:v>99</x:v>
      </x:c>
      <x:c r="R7" s="6" t="str">
        <x:f>INDEX(Requirements!$B$2:$B$28,MATCH(A7,Requirements!$A$2:$A$28,0))</x:f>
        <x:v>Allow staff to view requests permitted by their role and assigned categories.</x:v>
      </x:c>
      <x:c r="S7" s="8" t="s">
        <x:v>100</x:v>
      </x:c>
      <x:c r="T7" s="8" t="s">
        <x:v>101</x:v>
      </x:c>
      <x:c r="U7" s="8" t="s">
        <x:v>66</x:v>
      </x:c>
      <x:c r="V7" s="8" t="s">
        <x:v>67</x:v>
      </x:c>
      <x:c r="W7" s="15" t="str">
        <x:v>PARTIALLY IMPLEMENTED</x:v>
      </x:c>
      <x:c r="X7" s="15" t="str">
        <x:v>Not Met</x:v>
      </x:c>
      <x:c r="Y7" s="15" t="str">
        <x:v>Met</x:v>
      </x:c>
      <x:c r="Z7" s="17" t="n">
        <x:f>IF(X7="Met",1,IF(X7="Partially Met",0.5,IF(X7="Not Met",0,"Pending")))</x:f>
        <x:v>0</x:v>
      </x:c>
      <x:c r="AA7" s="17" t="n">
        <x:f>IF(Y7="Met",1,IF(Y7="Partially Met",0.5,IF(Y7="Not Met",0,"Pending")))</x:f>
        <x:v>1</x:v>
      </x:c>
      <x:c r="AB7" s="17" t="n">
        <x:f>IF(COUNT(Z7:AA7)=2,SUM(Z7:AA7),"Pending")</x:f>
        <x:v>1</x:v>
      </x:c>
      <x:c r="AC7" s="15" t="str">
        <x:v>Staff list view prepared; M3 category/direct-access denial remains verified. Evidence: docs/testing-m3.md; docs/evidence/m4-cameron-20261018/summary.md; PR20 where relevant.</x:v>
      </x:c>
      <x:c r="AD7" s="15" t="str">
        <x:v>The authorised persisted collection query is not implemented by this contribution.</x:v>
      </x:c>
      <x:c r="AE7" s="15" t="str">
        <x:v>Not delivered</x:v>
      </x:c>
    </x:row>
    <x:row r="8" ht="95.0999984741211" customHeight="1">
      <x:c r="A8" s="1" t="s">
        <x:v>102</x:v>
      </x:c>
      <x:c r="B8" s="1" t="s">
        <x:v>103</x:v>
      </x:c>
      <x:c r="C8" s="1" t="s">
        <x:v>104</x:v>
      </x:c>
      <x:c r="D8" s="1" t="s">
        <x:v>105</x:v>
      </x:c>
      <x:c r="E8" s="1" t="str">
        <x:f>INDEX(Requirements!$C$2:$C$28,MATCH(A8,Requirements!$A$2:$A$28,0))</x:f>
        <x:v>Medium</x:v>
      </x:c>
      <x:c r="F8" s="1" t="s">
        <x:v>106</x:v>
      </x:c>
      <x:c r="G8" s="1" t="s">
        <x:v>72</x:v>
      </x:c>
      <x:c r="H8" s="1" t="s">
        <x:v>28</x:v>
      </x:c>
      <x:c r="I8" s="1" t="s">
        <x:v>107</x:v>
      </x:c>
      <x:c r="J8" s="1" t="s">
        <x:v>30</x:v>
      </x:c>
      <x:c r="K8" s="1" t="inlineStr">
        <x:is>
          <x:t xml:space="preserve">15 Oct 2026; 668795a; PR17/CI pass. CONDITIONALLY READY: agreed M3 read/status increment, simulated staging only. PED Section 14.</x:t>
        </x:is>
      </x:c>
      <x:c r="L8" s="1" t="s">
        <x:v>31</x:v>
      </x:c>
      <x:c r="M8" s="5" t="s">
        <x:v>108</x:v>
      </x:c>
      <x:c r="N8" s="5" t="s">
        <x:v>109</x:v>
      </x:c>
      <x:c r="O8" s="5" t="s">
        <x:v>110</x:v>
      </x:c>
      <x:c r="P8" s="5" t="s">
        <x:v>35</x:v>
      </x:c>
      <x:c r="Q8" s="5" t="s">
        <x:v>111</x:v>
      </x:c>
      <x:c r="R8" s="5" t="str">
        <x:f>INDEX(Requirements!$B$2:$B$28,MATCH(A8,Requirements!$A$2:$A$28,0))</x:f>
        <x:v>Allow staff to search requests and filter by status, category, date and priority, and sort by date or priority.</x:v>
      </x:c>
      <x:c r="S8" s="8" t="s">
        <x:v>37</x:v>
      </x:c>
      <x:c r="T8" s="8" t="s">
        <x:v>112</x:v>
      </x:c>
      <x:c r="U8" s="8" t="s">
        <x:v>39</x:v>
      </x:c>
      <x:c r="V8" s="8" t="s">
        <x:v>40</x:v>
      </x:c>
      <x:c r="W8" s="15" t="str">
        <x:v>PARTIALLY IMPLEMENTED</x:v>
      </x:c>
      <x:c r="X8" s="15" t="str">
        <x:v>Not Met</x:v>
      </x:c>
      <x:c r="Y8" s="15" t="str">
        <x:v>Not Met</x:v>
      </x:c>
      <x:c r="Z8" s="17" t="n">
        <x:f>IF(X8="Met",1,IF(X8="Partially Met",0.5,IF(X8="Not Met",0,"Pending")))</x:f>
        <x:v>0</x:v>
      </x:c>
      <x:c r="AA8" s="17" t="n">
        <x:f>IF(Y8="Met",1,IF(Y8="Partially Met",0.5,IF(Y8="Not Met",0,"Pending")))</x:f>
        <x:v>0</x:v>
      </x:c>
      <x:c r="AB8" s="17" t="n">
        <x:f>IF(COUNT(Z8:AA8)=2,SUM(Z8:AA8),"Pending")</x:f>
        <x:v>0</x:v>
      </x:c>
      <x:c r="AC8" s="15" t="str">
        <x:v>Filter inputs, inclusive UTC dates and invalid ranges are checked. Evidence: docs/testing-m3.md; docs/evidence/m4-cameron-20261018/summary.md; PR20 where relevant.</x:v>
      </x:c>
      <x:c r="AD8" s="15" t="str">
        <x:v>Actual matching, combined query results and priority/date ordering require the real data adapter.</x:v>
      </x:c>
      <x:c r="AE8" s="15" t="str">
        <x:v>Not delivered</x:v>
      </x:c>
    </x:row>
    <x:row r="9" ht="95.0999984741211" customHeight="1">
      <x:c r="A9" s="10" t="s">
        <x:v>113</x:v>
      </x:c>
      <x:c r="B9" s="10" t="s">
        <x:v>114</x:v>
      </x:c>
      <x:c r="C9" s="10" t="s">
        <x:v>104</x:v>
      </x:c>
      <x:c r="D9" s="10" t="s">
        <x:v>115</x:v>
      </x:c>
      <x:c r="E9" s="10" t="str">
        <x:f>INDEX(Requirements!$C$2:$C$28,MATCH(A9,Requirements!$A$2:$A$28,0))</x:f>
        <x:v>High</x:v>
      </x:c>
      <x:c r="F9" s="10" t="s">
        <x:v>116</x:v>
      </x:c>
      <x:c r="G9" s="10" t="s">
        <x:v>57</x:v>
      </x:c>
      <x:c r="H9" s="10" t="inlineStr">
        <x:is>
          <x:t xml:space="preserve">src/CivicConnect.Web/: RequestQueryService; RequestAccessPolicy; EfRequestReader. M2 PR12; M3 PR14; published combined implementation 668795a (PR17).</x:t>
        </x:is>
      </x:c>
      <x:c r="I9" s="10" t="s">
        <x:v>117</x:v>
      </x:c>
      <x:c r="J9" s="10" t="inlineStr">
        <x:is>
          <x:t xml:space="preserve">M2 requirement/AC unchanged; CR-M3-C01 retained. Bianca/Michael review and PR17 approvals: 14 Oct. Published 668795a; CI verified; docs 15 Oct 2026.</x:t>
        </x:is>
      </x:c>
      <x:c r="K9" s="10" t="inlineStr">
        <x:is>
          <x:t xml:space="preserve">15 Oct 2026; 668795a; PR17/CI pass. CONDITIONALLY READY: agreed M3 read/status increment, simulated staging only. PED Section 14.</x:t>
        </x:is>
      </x:c>
      <x:c r="L9" s="10" t="s">
        <x:v>59</x:v>
      </x:c>
      <x:c r="M9" s="6" t="s">
        <x:v>60</x:v>
      </x:c>
      <x:c r="N9" s="6" t="s">
        <x:v>61</x:v>
      </x:c>
      <x:c r="O9" s="6" t="s">
        <x:v>62</x:v>
      </x:c>
      <x:c r="P9" s="6" t="s">
        <x:v>35</x:v>
      </x:c>
      <x:c r="Q9" s="6" t="s">
        <x:v>63</x:v>
      </x:c>
      <x:c r="R9" s="6" t="str">
        <x:f>INDEX(Requirements!$B$2:$B$28,MATCH(A9,Requirements!$A$2:$A$28,0))</x:f>
        <x:v>Allow authorised staff to view full request details.</x:v>
      </x:c>
      <x:c r="S9" s="8" t="s">
        <x:v>118</x:v>
      </x:c>
      <x:c r="T9" s="8" t="s">
        <x:v>119</x:v>
      </x:c>
      <x:c r="U9" s="8" t="s">
        <x:v>66</x:v>
      </x:c>
      <x:c r="V9" s="8" t="s">
        <x:v>67</x:v>
      </x:c>
      <x:c r="W9" s="15" t="str">
        <x:v>PARTIALLY IMPLEMENTED</x:v>
      </x:c>
      <x:c r="X9" s="15" t="str">
        <x:v>Partially Met</x:v>
      </x:c>
      <x:c r="Y9" s="15" t="str">
        <x:v>Partially Met</x:v>
      </x:c>
      <x:c r="Z9" s="17" t="n">
        <x:f>IF(X9="Met",1,IF(X9="Partially Met",0.5,IF(X9="Not Met",0,"Pending")))</x:f>
        <x:v>0.5</x:v>
      </x:c>
      <x:c r="AA9" s="17" t="n">
        <x:f>IF(Y9="Met",1,IF(Y9="Partially Met",0.5,IF(Y9="Not Met",0,"Pending")))</x:f>
        <x:v>0.5</x:v>
      </x:c>
      <x:c r="AB9" s="17" t="n">
        <x:f>IF(COUNT(Z9:AA9)=2,SUM(Z9:AA9),"Pending")</x:f>
        <x:v>1</x:v>
      </x:c>
      <x:c r="AC9" s="15" t="str">
        <x:v>Protected details show the existing saved fields; extension fields render through the contract. Evidence: docs/testing-m3.md; docs/evidence/m4-cameron-20261018/summary.md; PR20 where relevant.</x:v>
      </x:c>
      <x:c r="AD9" s="15" t="str">
        <x:v>Requester/owner/priority/due-date metadata is absent from current persistence.</x:v>
      </x:c>
      <x:c r="AE9" s="15" t="str">
        <x:v>Not delivered</x:v>
      </x:c>
    </x:row>
    <x:row r="10" ht="95.0999984741211" customHeight="1">
      <x:c r="A10" s="1" t="s">
        <x:v>120</x:v>
      </x:c>
      <x:c r="B10" s="1" t="s">
        <x:v>121</x:v>
      </x:c>
      <x:c r="C10" s="1" t="s">
        <x:v>104</x:v>
      </x:c>
      <x:c r="D10" s="1" t="s">
        <x:v>122</x:v>
      </x:c>
      <x:c r="E10" s="1" t="str">
        <x:f>INDEX(Requirements!$C$2:$C$28,MATCH(A10,Requirements!$A$2:$A$28,0))</x:f>
        <x:v>High</x:v>
      </x:c>
      <x:c r="F10" s="1" t="s">
        <x:v>123</x:v>
      </x:c>
      <x:c r="G10" s="1" t="s">
        <x:v>124</x:v>
      </x:c>
      <x:c r="H10" s="1" t="s">
        <x:v>28</x:v>
      </x:c>
      <x:c r="I10" s="1" t="s">
        <x:v>125</x:v>
      </x:c>
      <x:c r="J10" s="1" t="s">
        <x:v>30</x:v>
      </x:c>
      <x:c r="K10" s="1" t="inlineStr">
        <x:is>
          <x:t xml:space="preserve">15 Oct 2026; 668795a; PR17/CI pass. CONDITIONALLY READY: agreed M3 read/status increment, simulated staging only. PED Section 14.</x:t>
        </x:is>
      </x:c>
      <x:c r="L10" s="1" t="s">
        <x:v>31</x:v>
      </x:c>
      <x:c r="M10" s="5" t="s">
        <x:v>48</x:v>
      </x:c>
      <x:c r="N10" s="5" t="s">
        <x:v>126</x:v>
      </x:c>
      <x:c r="O10" s="5" t="s">
        <x:v>127</x:v>
      </x:c>
      <x:c r="P10" s="5" t="s">
        <x:v>35</x:v>
      </x:c>
      <x:c r="Q10" s="5" t="s">
        <x:v>128</x:v>
      </x:c>
      <x:c r="R10" s="5" t="str">
        <x:f>INDEX(Requirements!$B$2:$B$28,MATCH(A10,Requirements!$A$2:$A$28,0))</x:f>
        <x:v>Allow authorised staff to assign a request or accept responsibility for it.</x:v>
      </x:c>
      <x:c r="S10" s="8" t="s">
        <x:v>37</x:v>
      </x:c>
      <x:c r="T10" s="8" t="s">
        <x:v>129</x:v>
      </x:c>
      <x:c r="U10" s="8" t="s">
        <x:v>39</x:v>
      </x:c>
      <x:c r="V10" s="8" t="s">
        <x:v>40</x:v>
      </x:c>
      <x:c r="W10" s="15" t="str">
        <x:v>PARTIALLY IMPLEMENTED</x:v>
      </x:c>
      <x:c r="X10" s="15" t="str">
        <x:v>Partially Met</x:v>
      </x:c>
      <x:c r="Y10" s="15" t="str">
        <x:v>Partially Met</x:v>
      </x:c>
      <x:c r="Z10" s="17" t="n">
        <x:f>IF(X10="Met",1,IF(X10="Partially Met",0.5,IF(X10="Not Met",0,"Pending")))</x:f>
        <x:v>0.5</x:v>
      </x:c>
      <x:c r="AA10" s="17" t="n">
        <x:f>IF(Y10="Met",1,IF(Y10="Partially Met",0.5,IF(Y10="Not Met",0,"Pending")))</x:f>
        <x:v>0.5</x:v>
      </x:c>
      <x:c r="AB10" s="17" t="n">
        <x:f>IF(COUNT(Z10:AA10)=2,SUM(Z10:AA10),"Pending")</x:f>
        <x:v>1</x:v>
      </x:c>
      <x:c r="AC10" s="15" t="str">
        <x:v>Bianca’s eligibility rule and Cameron’s assignment controller are tested in isolation. Evidence: docs/testing-m3.md; docs/evidence/m4-cameron-20261018/summary.md; PR20 where relevant.</x:v>
      </x:c>
      <x:c r="AD10" s="15" t="str">
        <x:v>Atomic persisted ownership, audit and simultaneous claims remain unverified.</x:v>
      </x:c>
      <x:c r="AE10" s="15" t="str">
        <x:v>Not delivered</x:v>
      </x:c>
    </x:row>
    <x:row r="11" ht="95.0999984741211" customHeight="1">
      <x:c r="A11" s="10" t="s">
        <x:v>130</x:v>
      </x:c>
      <x:c r="B11" s="10" t="s">
        <x:v>131</x:v>
      </x:c>
      <x:c r="C11" s="10" t="s">
        <x:v>104</x:v>
      </x:c>
      <x:c r="D11" s="10" t="s">
        <x:v>132</x:v>
      </x:c>
      <x:c r="E11" s="10" t="str">
        <x:f>INDEX(Requirements!$C$2:$C$28,MATCH(A11,Requirements!$A$2:$A$28,0))</x:f>
        <x:v>High</x:v>
      </x:c>
      <x:c r="F11" s="10" t="s">
        <x:v>133</x:v>
      </x:c>
      <x:c r="G11" s="10" t="s">
        <x:v>124</x:v>
      </x:c>
      <x:c r="H11" s="10" t="inlineStr">
        <x:is>
          <x:t xml:space="preserve">src/CivicConnect.Web/: StatusTransitionService; RequestStatusService; EfRequestStatusWriter. M2 PR12; M3 PR14; published combined implementation 668795a (PR17).</x:t>
        </x:is>
      </x:c>
      <x:c r="I11" s="10" t="s">
        <x:v>134</x:v>
      </x:c>
      <x:c r="J11" s="10" t="inlineStr">
        <x:is>
          <x:t xml:space="preserve">Original requirement/AC unchanged. CR-M3-C03: team M3 scope confirmed 15 Oct; read/status increment conditionally ready in controlled simulation. PR17 and combined CI complete.</x:t>
        </x:is>
      </x:c>
      <x:c r="K11" s="10" t="inlineStr">
        <x:is>
          <x:t xml:space="preserve">15 Oct 2026; 668795a; PR17/CI pass. CONDITIONALLY READY: agreed M3 read/status increment, simulated staging only. PED Section 14.</x:t>
        </x:is>
      </x:c>
      <x:c r="L11" s="10" t="s">
        <x:v>59</x:v>
      </x:c>
      <x:c r="M11" s="6" t="s">
        <x:v>135</x:v>
      </x:c>
      <x:c r="N11" s="6" t="s">
        <x:v>136</x:v>
      </x:c>
      <x:c r="O11" s="6" t="s">
        <x:v>87</x:v>
      </x:c>
      <x:c r="P11" s="6" t="s">
        <x:v>35</x:v>
      </x:c>
      <x:c r="Q11" s="6" t="s">
        <x:v>137</x:v>
      </x:c>
      <x:c r="R11" s="6" t="str">
        <x:f>INDEX(Requirements!$B$2:$B$28,MATCH(A11,Requirements!$A$2:$A$28,0))</x:f>
        <x:v>Allow request status changes only through the agreed lifecycle.</x:v>
      </x:c>
      <x:c r="S11" s="8" t="s">
        <x:v>138</x:v>
      </x:c>
      <x:c r="T11" s="8" t="inlineStr">
        <x:is>
          <x:t xml:space="preserve">Synthetic identities; simultaneous HTTP/audit coverage limited. Team accepts controlled M3 simulation; live accounts and full product remain incomplete for M4 finalisation.</x:t>
        </x:is>
      </x:c>
      <x:c r="U11" s="8" t="s">
        <x:v>66</x:v>
      </x:c>
      <x:c r="V11" s="8" t="s">
        <x:v>67</x:v>
      </x:c>
      <x:c r="W11" s="15" t="str">
        <x:v>IMPLEMENTED</x:v>
      </x:c>
      <x:c r="X11" s="15" t="str">
        <x:v>Met</x:v>
      </x:c>
      <x:c r="Y11" s="15" t="str">
        <x:v>Met</x:v>
      </x:c>
      <x:c r="Z11" s="17" t="n">
        <x:f>IF(X11="Met",1,IF(X11="Partially Met",0.5,IF(X11="Not Met",0,"Pending")))</x:f>
        <x:v>1</x:v>
      </x:c>
      <x:c r="AA11" s="17" t="n">
        <x:f>IF(Y11="Met",1,IF(Y11="Partially Met",0.5,IF(Y11="Not Met",0,"Pending")))</x:f>
        <x:v>1</x:v>
      </x:c>
      <x:c r="AB11" s="17" t="n">
        <x:f>IF(COUNT(Z11:AA11)=2,SUM(Z11:AA11),"Pending")</x:f>
        <x:v>2</x:v>
      </x:c>
      <x:c r="AC11" s="15" t="str">
        <x:v>M3 C01–C06/A03/A05/A06/E01/E02 plus 36-pair LC matrix verify status legality and rejection. Evidence: docs/testing-m3.md; docs/evidence/m4-cameron-20261018/summary.md; PR20 where relevant.</x:v>
      </x:c>
      <x:c r="AD11" s="15" t="str">
        <x:v>Writer bypass remains debt; added entry points and final adapters require another integration run.</x:v>
      </x:c>
      <x:c r="AE11" s="15" t="str">
        <x:v>Verified</x:v>
      </x:c>
    </x:row>
    <x:row r="12" ht="95.0999984741211" customHeight="1">
      <x:c r="A12" s="1" t="s">
        <x:v>139</x:v>
      </x:c>
      <x:c r="B12" s="1" t="s">
        <x:v>140</x:v>
      </x:c>
      <x:c r="C12" s="1" t="s">
        <x:v>104</x:v>
      </x:c>
      <x:c r="D12" s="1" t="s">
        <x:v>141</x:v>
      </x:c>
      <x:c r="E12" s="1" t="str">
        <x:f>INDEX(Requirements!$C$2:$C$28,MATCH(A12,Requirements!$A$2:$A$28,0))</x:f>
        <x:v>High</x:v>
      </x:c>
      <x:c r="F12" s="1" t="s">
        <x:v>142</x:v>
      </x:c>
      <x:c r="G12" s="1" t="s">
        <x:v>72</x:v>
      </x:c>
      <x:c r="H12" s="1" t="inlineStr">
        <x:is>
          <x:t xml:space="preserve">src/CivicConnect.Web/: DTO note filtering; EfRequestStatusWriter public feedback. M2 PR12; M3 PR14; published combined implementation 668795a (PR17).</x:t>
        </x:is>
      </x:c>
      <x:c r="I12" s="1" t="s">
        <x:v>143</x:v>
      </x:c>
      <x:c r="J12" s="1" t="inlineStr">
        <x:is>
          <x:t xml:space="preserve">M2 requirement/AC unchanged; CR-M3-C01 retained. Bianca/Michael review and PR17 approvals: 14 Oct. Published 668795a; CI verified; docs 15 Oct 2026.</x:t>
        </x:is>
      </x:c>
      <x:c r="K12" s="1" t="inlineStr">
        <x:is>
          <x:t xml:space="preserve">15 Oct 2026; 668795a; PR17/CI pass. CONDITIONALLY READY: agreed M3 read/status increment, simulated staging only. PED Section 14.</x:t>
        </x:is>
      </x:c>
      <x:c r="L12" s="1" t="s">
        <x:v>59</x:v>
      </x:c>
      <x:c r="M12" s="5" t="s">
        <x:v>144</x:v>
      </x:c>
      <x:c r="N12" s="5" t="s">
        <x:v>145</x:v>
      </x:c>
      <x:c r="O12" s="5" t="s">
        <x:v>87</x:v>
      </x:c>
      <x:c r="P12" s="5" t="s">
        <x:v>35</x:v>
      </x:c>
      <x:c r="Q12" s="5" t="s">
        <x:v>146</x:v>
      </x:c>
      <x:c r="R12" s="5" t="str">
        <x:f>INDEX(Requirements!$B$2:$B$28,MATCH(A12,Requirements!$A$2:$A$28,0))</x:f>
        <x:v>Allow staff to record comments, actions and resolution notes against a request.</x:v>
      </x:c>
      <x:c r="S12" s="8" t="s">
        <x:v>147</x:v>
      </x:c>
      <x:c r="T12" s="8" t="s">
        <x:v>148</x:v>
      </x:c>
      <x:c r="U12" s="8" t="s">
        <x:v>66</x:v>
      </x:c>
      <x:c r="V12" s="8" t="s">
        <x:v>67</x:v>
      </x:c>
      <x:c r="W12" s="15" t="str">
        <x:v>PARTIALLY IMPLEMENTED</x:v>
      </x:c>
      <x:c r="X12" s="15" t="str">
        <x:v>Partially Met</x:v>
      </x:c>
      <x:c r="Y12" s="15" t="str">
        <x:v>Partially Met</x:v>
      </x:c>
      <x:c r="Z12" s="17" t="n">
        <x:f>IF(X12="Met",1,IF(X12="Partially Met",0.5,IF(X12="Not Met",0,"Pending")))</x:f>
        <x:v>0.5</x:v>
      </x:c>
      <x:c r="AA12" s="17" t="n">
        <x:f>IF(Y12="Met",1,IF(Y12="Partially Met",0.5,IF(Y12="Not Met",0,"Pending")))</x:f>
        <x:v>0.5</x:v>
      </x:c>
      <x:c r="AB12" s="17" t="n">
        <x:f>IF(COUNT(Z12:AA12)=2,SUM(Z12:AA12),"Pending")</x:f>
        <x:v>1</x:v>
      </x:c>
      <x:c r="AC12" s="15" t="str">
        <x:v>Blank/oversize input, public/internal visibility and encoded notes checked through the portal contract. Evidence: docs/testing-m3.md; docs/evidence/m4-cameron-20261018/summary.md; PR20 where relevant.</x:v>
      </x:c>
      <x:c r="AD12" s="15" t="str">
        <x:v>General notes need persisted author/time and correction history.</x:v>
      </x:c>
      <x:c r="AE12" s="15" t="str">
        <x:v>Not delivered</x:v>
      </x:c>
    </x:row>
    <x:row r="13" ht="95.0999984741211" customHeight="1">
      <x:c r="A13" s="10" t="s">
        <x:v>149</x:v>
      </x:c>
      <x:c r="B13" s="10" t="s">
        <x:v>150</x:v>
      </x:c>
      <x:c r="C13" s="10" t="s">
        <x:v>104</x:v>
      </x:c>
      <x:c r="D13" s="10" t="s">
        <x:v>151</x:v>
      </x:c>
      <x:c r="E13" s="10" t="str">
        <x:f>INDEX(Requirements!$C$2:$C$28,MATCH(A13,Requirements!$A$2:$A$28,0))</x:f>
        <x:v>High</x:v>
      </x:c>
      <x:c r="F13" s="10" t="s">
        <x:v>152</x:v>
      </x:c>
      <x:c r="G13" s="10" t="s">
        <x:v>124</x:v>
      </x:c>
      <x:c r="H13" s="10" t="inlineStr">
        <x:is>
          <x:t xml:space="preserve">src/CivicConnect.Web/: StatusTransitionService; RequestStatusService; status POST. M2 PR12; M3 PR14; published combined implementation 668795a (PR17).</x:t>
        </x:is>
      </x:c>
      <x:c r="I13" s="10" t="s">
        <x:v>153</x:v>
      </x:c>
      <x:c r="J13" s="10" t="inlineStr">
        <x:is>
          <x:t xml:space="preserve">M2 requirement/AC unchanged; CR-M3-C01 retained. Bianca/Michael review and PR17 approvals: 14 Oct. Published 668795a; CI verified; docs 15 Oct 2026.</x:t>
        </x:is>
      </x:c>
      <x:c r="K13" s="10" t="inlineStr">
        <x:is>
          <x:t xml:space="preserve">15 Oct 2026; 668795a; PR17/CI pass. CONDITIONALLY READY: agreed M3 read/status increment, simulated staging only. PED Section 14.</x:t>
        </x:is>
      </x:c>
      <x:c r="L13" s="10" t="s">
        <x:v>59</x:v>
      </x:c>
      <x:c r="M13" s="6" t="s">
        <x:v>85</x:v>
      </x:c>
      <x:c r="N13" s="6" t="s">
        <x:v>154</x:v>
      </x:c>
      <x:c r="O13" s="6" t="s">
        <x:v>87</x:v>
      </x:c>
      <x:c r="P13" s="6" t="s">
        <x:v>35</x:v>
      </x:c>
      <x:c r="Q13" s="6" t="s">
        <x:v>137</x:v>
      </x:c>
      <x:c r="R13" s="6" t="str">
        <x:f>INDEX(Requirements!$B$2:$B$28,MATCH(A13,Requirements!$A$2:$A$28,0))</x:f>
        <x:v>Allow authorised staff to resolve and close requests.</x:v>
      </x:c>
      <x:c r="S13" s="8" t="s">
        <x:v>155</x:v>
      </x:c>
      <x:c r="T13" s="8" t="s">
        <x:v>156</x:v>
      </x:c>
      <x:c r="U13" s="8" t="s">
        <x:v>66</x:v>
      </x:c>
      <x:c r="V13" s="8" t="s">
        <x:v>67</x:v>
      </x:c>
      <x:c r="W13" s="15" t="str">
        <x:v>IMPLEMENTED</x:v>
      </x:c>
      <x:c r="X13" s="15" t="str">
        <x:v>Met</x:v>
      </x:c>
      <x:c r="Y13" s="15" t="str">
        <x:v>Met</x:v>
      </x:c>
      <x:c r="Z13" s="17" t="n">
        <x:f>IF(X13="Met",1,IF(X13="Partially Met",0.5,IF(X13="Not Met",0,"Pending")))</x:f>
        <x:v>1</x:v>
      </x:c>
      <x:c r="AA13" s="17" t="n">
        <x:f>IF(Y13="Met",1,IF(Y13="Partially Met",0.5,IF(Y13="Not Met",0,"Pending")))</x:f>
        <x:v>1</x:v>
      </x:c>
      <x:c r="AB13" s="17" t="n">
        <x:f>IF(COUNT(Z13:AA13)=2,SUM(Z13:AA13),"Pending")</x:f>
        <x:v>2</x:v>
      </x:c>
      <x:c r="AC13" s="15" t="str">
        <x:v>M3 lifecycle saves resolution summary/actor/time and rejects unauthorised or invalid closure. Evidence: docs/testing-m3.md; docs/evidence/m4-cameron-20261018/summary.md; PR20 where relevant.</x:v>
      </x:c>
      <x:c r="AD13" s="15" t="str">
        <x:v>Real-account portal acceptance remains separate from the verified status API.</x:v>
      </x:c>
      <x:c r="AE13" s="15" t="str">
        <x:v>Verified</x:v>
      </x:c>
    </x:row>
    <x:row r="14" ht="95.0999984741211" customHeight="1">
      <x:c r="A14" s="1" t="s">
        <x:v>157</x:v>
      </x:c>
      <x:c r="B14" s="1" t="s">
        <x:v>158</x:v>
      </x:c>
      <x:c r="C14" s="1" t="s">
        <x:v>159</x:v>
      </x:c>
      <x:c r="D14" s="1" t="s">
        <x:v>160</x:v>
      </x:c>
      <x:c r="E14" s="1" t="str">
        <x:f>INDEX(Requirements!$C$2:$C$28,MATCH(A14,Requirements!$A$2:$A$28,0))</x:f>
        <x:v>Medium</x:v>
      </x:c>
      <x:c r="F14" s="1" t="s">
        <x:v>161</x:v>
      </x:c>
      <x:c r="G14" s="1" t="s">
        <x:v>72</x:v>
      </x:c>
      <x:c r="H14" s="1" t="s">
        <x:v>28</x:v>
      </x:c>
      <x:c r="I14" s="1" t="s">
        <x:v>162</x:v>
      </x:c>
      <x:c r="J14" s="1" t="s">
        <x:v>30</x:v>
      </x:c>
      <x:c r="K14" s="1" t="inlineStr">
        <x:is>
          <x:t xml:space="preserve">15 Oct 2026; 668795a; PR17/CI pass. CONDITIONALLY READY: agreed M3 read/status increment, simulated staging only. PED Section 14.</x:t>
        </x:is>
      </x:c>
      <x:c r="L14" s="1" t="s">
        <x:v>31</x:v>
      </x:c>
      <x:c r="M14" s="5" t="s">
        <x:v>108</x:v>
      </x:c>
      <x:c r="N14" s="5" t="s">
        <x:v>163</x:v>
      </x:c>
      <x:c r="O14" s="5" t="s">
        <x:v>164</x:v>
      </x:c>
      <x:c r="P14" s="5" t="s">
        <x:v>35</x:v>
      </x:c>
      <x:c r="Q14" s="5" t="s">
        <x:v>165</x:v>
      </x:c>
      <x:c r="R14" s="5" t="str">
        <x:f>INDEX(Requirements!$B$2:$B$28,MATCH(A14,Requirements!$A$2:$A$28,0))</x:f>
        <x:v>Allow management to view counts of open, overdue, resolved and closed requests.</x:v>
      </x:c>
      <x:c r="S14" s="8" t="s">
        <x:v>37</x:v>
      </x:c>
      <x:c r="T14" s="8" t="s">
        <x:v>166</x:v>
      </x:c>
      <x:c r="U14" s="8" t="s">
        <x:v>39</x:v>
      </x:c>
      <x:c r="V14" s="8" t="s">
        <x:v>40</x:v>
      </x:c>
      <x:c r="W14" s="15" t="str">
        <x:v>PARTIALLY IMPLEMENTED</x:v>
      </x:c>
      <x:c r="X14" s="15" t="str">
        <x:v>Partially Met</x:v>
      </x:c>
      <x:c r="Y14" s="15" t="str">
        <x:v>Partially Met</x:v>
      </x:c>
      <x:c r="Z14" s="17" t="n">
        <x:f>IF(X14="Met",1,IF(X14="Partially Met",0.5,IF(X14="Not Met",0,"Pending")))</x:f>
        <x:v>0.5</x:v>
      </x:c>
      <x:c r="AA14" s="17" t="n">
        <x:f>IF(Y14="Met",1,IF(Y14="Partially Met",0.5,IF(Y14="Not Met",0,"Pending")))</x:f>
        <x:v>0.5</x:v>
      </x:c>
      <x:c r="AB14" s="17" t="n">
        <x:f>IF(COUNT(Z14:AA14)=2,SUM(Z14:AA14),"Pending")</x:f>
        <x:v>1</x:v>
      </x:c>
      <x:c r="AC14" s="15" t="str">
        <x:v>Bianca’s known-data calculator and management controller/zero counts are exercised. Evidence: docs/testing-m3.md; docs/evidence/m4-cameron-20261018/summary.md; PR20 where relevant.</x:v>
      </x:c>
      <x:c r="AD14" s="15" t="str">
        <x:v>Saved management data and refresh against persistent changes await integration.</x:v>
      </x:c>
      <x:c r="AE14" s="15" t="str">
        <x:v>Not delivered</x:v>
      </x:c>
    </x:row>
    <x:row r="15" ht="95.0999984741211" customHeight="1">
      <x:c r="A15" s="10" t="s">
        <x:v>167</x:v>
      </x:c>
      <x:c r="B15" s="10" t="s">
        <x:v>168</x:v>
      </x:c>
      <x:c r="C15" s="10" t="s">
        <x:v>169</x:v>
      </x:c>
      <x:c r="D15" s="10" t="s">
        <x:v>170</x:v>
      </x:c>
      <x:c r="E15" s="10" t="str">
        <x:f>INDEX(Requirements!$C$2:$C$28,MATCH(A15,Requirements!$A$2:$A$28,0))</x:f>
        <x:v>Medium</x:v>
      </x:c>
      <x:c r="F15" s="10" t="s">
        <x:v>171</x:v>
      </x:c>
      <x:c r="G15" s="10" t="s">
        <x:v>72</x:v>
      </x:c>
      <x:c r="H15" s="10" t="s">
        <x:v>28</x:v>
      </x:c>
      <x:c r="I15" s="10" t="s">
        <x:v>172</x:v>
      </x:c>
      <x:c r="J15" s="10" t="s">
        <x:v>30</x:v>
      </x:c>
      <x:c r="K15" s="10" t="inlineStr">
        <x:is>
          <x:t xml:space="preserve">15 Oct 2026; 668795a; PR17/CI pass. CONDITIONALLY READY: agreed M3 read/status increment, simulated staging only. PED Section 14.</x:t>
        </x:is>
      </x:c>
      <x:c r="L15" s="10" t="s">
        <x:v>31</x:v>
      </x:c>
      <x:c r="M15" s="6" t="s">
        <x:v>108</x:v>
      </x:c>
      <x:c r="N15" s="6" t="s">
        <x:v>173</x:v>
      </x:c>
      <x:c r="O15" s="6" t="s">
        <x:v>174</x:v>
      </x:c>
      <x:c r="P15" s="6" t="s">
        <x:v>35</x:v>
      </x:c>
      <x:c r="Q15" s="6" t="s">
        <x:v>165</x:v>
      </x:c>
      <x:c r="R15" s="6" t="str">
        <x:f>INDEX(Requirements!$B$2:$B$28,MATCH(A15,Requirements!$A$2:$A$28,0))</x:f>
        <x:v>Allow management to view requests and counts by category and status.</x:v>
      </x:c>
      <x:c r="S15" s="8" t="s">
        <x:v>37</x:v>
      </x:c>
      <x:c r="T15" s="8" t="s">
        <x:v>175</x:v>
      </x:c>
      <x:c r="U15" s="8" t="s">
        <x:v>39</x:v>
      </x:c>
      <x:c r="V15" s="8" t="s">
        <x:v>40</x:v>
      </x:c>
      <x:c r="W15" s="15" t="str">
        <x:v>PARTIALLY IMPLEMENTED</x:v>
      </x:c>
      <x:c r="X15" s="15" t="str">
        <x:v>Not Met</x:v>
      </x:c>
      <x:c r="Y15" s="15" t="str">
        <x:v>Not Met</x:v>
      </x:c>
      <x:c r="Z15" s="17" t="n">
        <x:f>IF(X15="Met",1,IF(X15="Partially Met",0.5,IF(X15="Not Met",0,"Pending")))</x:f>
        <x:v>0</x:v>
      </x:c>
      <x:c r="AA15" s="17" t="n">
        <x:f>IF(Y15="Met",1,IF(Y15="Partially Met",0.5,IF(Y15="Not Met",0,"Pending")))</x:f>
        <x:v>0</x:v>
      </x:c>
      <x:c r="AB15" s="17" t="n">
        <x:f>IF(COUNT(Z15:AA15)=2,SUM(Z15:AA15),"Pending")</x:f>
        <x:v>0</x:v>
      </x:c>
      <x:c r="AC15" s="15" t="str">
        <x:v>Management category/status selections filter synthetic reporting data and counts. Evidence: docs/testing-m3.md; docs/evidence/m4-cameron-20261018/summary.md; PR20 where relevant.</x:v>
      </x:c>
      <x:c r="AD15" s="15" t="str">
        <x:v>The persisted management overview and individual matching request presentation remain incomplete.</x:v>
      </x:c>
      <x:c r="AE15" s="15" t="str">
        <x:v>Not delivered</x:v>
      </x:c>
    </x:row>
    <x:row r="16" ht="95.0999984741211" customHeight="1">
      <x:c r="A16" s="1" t="s">
        <x:v>176</x:v>
      </x:c>
      <x:c r="B16" s="1" t="s">
        <x:v>177</x:v>
      </x:c>
      <x:c r="C16" s="1" t="s">
        <x:v>178</x:v>
      </x:c>
      <x:c r="D16" s="1" t="s">
        <x:v>179</x:v>
      </x:c>
      <x:c r="E16" s="1" t="str">
        <x:f>INDEX(Requirements!$C$2:$C$28,MATCH(A16,Requirements!$A$2:$A$28,0))</x:f>
        <x:v>High</x:v>
      </x:c>
      <x:c r="F16" s="1" t="s">
        <x:v>180</x:v>
      </x:c>
      <x:c r="G16" s="1" t="s">
        <x:v>72</x:v>
      </x:c>
      <x:c r="H16" s="1" t="inlineStr">
        <x:is>
          <x:t xml:space="preserve">src/CivicConnect.Web/: RequestStatusHistoryEntity; EfRequestStatusWriter. M2 PR12; M3 PR14; published combined implementation 668795a (PR17).</x:t>
        </x:is>
      </x:c>
      <x:c r="I16" s="1" t="s">
        <x:v>181</x:v>
      </x:c>
      <x:c r="J16" s="1" t="inlineStr">
        <x:is>
          <x:t xml:space="preserve">M2 requirement/AC unchanged; CR-M3-C01 retained. Bianca/Michael review and PR17 approvals: 14 Oct. Published 668795a; CI verified; docs 15 Oct 2026.</x:t>
        </x:is>
      </x:c>
      <x:c r="K16" s="1" t="inlineStr">
        <x:is>
          <x:t xml:space="preserve">15 Oct 2026; 668795a; PR17/CI pass. CONDITIONALLY READY: agreed M3 read/status increment, simulated staging only. PED Section 14.</x:t>
        </x:is>
      </x:c>
      <x:c r="L16" s="1" t="s">
        <x:v>59</x:v>
      </x:c>
      <x:c r="M16" s="5" t="s">
        <x:v>85</x:v>
      </x:c>
      <x:c r="N16" s="5" t="s">
        <x:v>182</x:v>
      </x:c>
      <x:c r="O16" s="5" t="s">
        <x:v>87</x:v>
      </x:c>
      <x:c r="P16" s="5" t="s">
        <x:v>35</x:v>
      </x:c>
      <x:c r="Q16" s="5" t="s">
        <x:v>183</x:v>
      </x:c>
      <x:c r="R16" s="5" t="str">
        <x:f>INDEX(Requirements!$B$2:$B$28,MATCH(A16,Requirements!$A$2:$A$28,0))</x:f>
        <x:v>Keep request history to support accountability and basic performance reporting.</x:v>
      </x:c>
      <x:c r="S16" s="8" t="s">
        <x:v>184</x:v>
      </x:c>
      <x:c r="T16" s="8" t="s">
        <x:v>185</x:v>
      </x:c>
      <x:c r="U16" s="8" t="s">
        <x:v>66</x:v>
      </x:c>
      <x:c r="V16" s="8" t="s">
        <x:v>67</x:v>
      </x:c>
      <x:c r="W16" s="15" t="str">
        <x:v>PARTIALLY IMPLEMENTED</x:v>
      </x:c>
      <x:c r="X16" s="15" t="str">
        <x:v>Partially Met</x:v>
      </x:c>
      <x:c r="Y16" s="15" t="str">
        <x:v>Partially Met</x:v>
      </x:c>
      <x:c r="Z16" s="17" t="n">
        <x:f>IF(X16="Met",1,IF(X16="Partially Met",0.5,IF(X16="Not Met",0,"Pending")))</x:f>
        <x:v>0.5</x:v>
      </x:c>
      <x:c r="AA16" s="17" t="n">
        <x:f>IF(Y16="Met",1,IF(Y16="Partially Met",0.5,IF(Y16="Not Met",0,"Pending")))</x:f>
        <x:v>0.5</x:v>
      </x:c>
      <x:c r="AB16" s="17" t="n">
        <x:f>IF(COUNT(Z16:AA16)=2,SUM(Z16:AA16),"Pending")</x:f>
        <x:v>1</x:v>
      </x:c>
      <x:c r="AC16" s="15" t="str">
        <x:v>Status history is transactional and persisted with actor/time. Evidence: docs/testing-m3.md; docs/evidence/m4-cameron-20261018/summary.md; PR20 where relevant.</x:v>
      </x:c>
      <x:c r="AD16" s="15" t="str">
        <x:v>Creation/ownership/priority/due-date/note audit, restart and immutability coverage remain incomplete.</x:v>
      </x:c>
      <x:c r="AE16" s="15" t="str">
        <x:v>Not delivered</x:v>
      </x:c>
    </x:row>
    <x:row r="17" ht="95.0999984741211" customHeight="1">
      <x:c r="A17" s="10" t="s">
        <x:v>186</x:v>
      </x:c>
      <x:c r="B17" s="10" t="s">
        <x:v>187</x:v>
      </x:c>
      <x:c r="C17" s="10" t="s">
        <x:v>188</x:v>
      </x:c>
      <x:c r="D17" s="10" t="s">
        <x:v>189</x:v>
      </x:c>
      <x:c r="E17" s="10" t="str">
        <x:f>INDEX(Requirements!$C$2:$C$28,MATCH(A17,Requirements!$A$2:$A$28,0))</x:f>
        <x:v>High</x:v>
      </x:c>
      <x:c r="F17" s="10" t="s">
        <x:v>190</x:v>
      </x:c>
      <x:c r="G17" s="10" t="s">
        <x:v>57</x:v>
      </x:c>
      <x:c r="H17" s="10" t="inlineStr">
        <x:is>
          <x:t xml:space="preserve">src/CivicConnect.Web/: Cookie authentication; central action/read policy. M2 PR12; M3 PR14; published combined implementation 668795a (PR17).</x:t>
        </x:is>
      </x:c>
      <x:c r="I17" s="10" t="s">
        <x:v>191</x:v>
      </x:c>
      <x:c r="J17" s="10" t="inlineStr">
        <x:is>
          <x:t xml:space="preserve">M2 requirement/AC unchanged; CR-M3-C01 retained. Bianca/Michael review and PR17 approvals: 14 Oct. Published 668795a; CI verified; docs 15 Oct 2026.</x:t>
        </x:is>
      </x:c>
      <x:c r="K17" s="10" t="inlineStr">
        <x:is>
          <x:t xml:space="preserve">15 Oct 2026; 668795a; PR17/CI pass. CONDITIONALLY READY: agreed M3 read/status increment, simulated staging only. PED Section 14.</x:t>
        </x:is>
      </x:c>
      <x:c r="L17" s="10" t="s">
        <x:v>59</x:v>
      </x:c>
      <x:c r="M17" s="6" t="s">
        <x:v>60</x:v>
      </x:c>
      <x:c r="N17" s="6" t="s">
        <x:v>192</x:v>
      </x:c>
      <x:c r="O17" s="6" t="s">
        <x:v>193</x:v>
      </x:c>
      <x:c r="P17" s="6" t="s">
        <x:v>35</x:v>
      </x:c>
      <x:c r="Q17" s="6" t="s">
        <x:v>194</x:v>
      </x:c>
      <x:c r="R17" s="6" t="str">
        <x:f>INDEX(Requirements!$B$2:$B$28,MATCH(A17,Requirements!$A$2:$A$28,0))</x:f>
        <x:v>Authenticate users and apply Requester, Staff and Management permissions.</x:v>
      </x:c>
      <x:c r="S17" s="8" t="s">
        <x:v>195</x:v>
      </x:c>
      <x:c r="T17" s="8" t="s">
        <x:v>196</x:v>
      </x:c>
      <x:c r="U17" s="8" t="s">
        <x:v>66</x:v>
      </x:c>
      <x:c r="V17" s="8" t="s">
        <x:v>67</x:v>
      </x:c>
      <x:c r="W17" s="15" t="str">
        <x:v>PARTIALLY IMPLEMENTED</x:v>
      </x:c>
      <x:c r="X17" s="15" t="str">
        <x:v>Not Met</x:v>
      </x:c>
      <x:c r="Y17" s="15" t="str">
        <x:v>Met</x:v>
      </x:c>
      <x:c r="Z17" s="17" t="n">
        <x:f>IF(X17="Met",1,IF(X17="Partially Met",0.5,IF(X17="Not Met",0,"Pending")))</x:f>
        <x:v>0</x:v>
      </x:c>
      <x:c r="AA17" s="17" t="n">
        <x:f>IF(Y17="Met",1,IF(Y17="Partially Met",0.5,IF(Y17="Not Met",0,"Pending")))</x:f>
        <x:v>1</x:v>
      </x:c>
      <x:c r="AB17" s="17" t="n">
        <x:f>IF(COUNT(Z17:AA17)=2,SUM(Z17:AA17),"Pending")</x:f>
        <x:v>1</x:v>
      </x:c>
      <x:c r="AC17" s="15" t="str">
        <x:v>Sign-in/session controller, role injection denial, signed-out access and permission refresh checked. Evidence: docs/testing-m3.md; docs/evidence/m4-cameron-20261018/summary.md; PR20 where relevant.</x:v>
      </x:c>
      <x:c r="AD17" s="15" t="str">
        <x:v>There is no registered real account adapter or verified enabled-account credential store.</x:v>
      </x:c>
      <x:c r="AE17" s="15" t="str">
        <x:v>Not delivered</x:v>
      </x:c>
    </x:row>
    <x:row r="18" ht="95.0999984741211" customHeight="1">
      <x:c r="A18" s="1" t="s">
        <x:v>197</x:v>
      </x:c>
      <x:c r="B18" s="1" t="s">
        <x:v>198</x:v>
      </x:c>
      <x:c r="C18" s="1" t="s">
        <x:v>199</x:v>
      </x:c>
      <x:c r="D18" s="1" t="s">
        <x:v>200</x:v>
      </x:c>
      <x:c r="E18" s="1" t="str">
        <x:f>INDEX(Requirements!$C$2:$C$28,MATCH(A18,Requirements!$A$2:$A$28,0))</x:f>
        <x:v>Medium</x:v>
      </x:c>
      <x:c r="F18" s="1" t="s">
        <x:v>201</x:v>
      </x:c>
      <x:c r="G18" s="1" t="s">
        <x:v>72</x:v>
      </x:c>
      <x:c r="H18" s="1" t="s">
        <x:v>28</x:v>
      </x:c>
      <x:c r="I18" s="1" t="s">
        <x:v>202</x:v>
      </x:c>
      <x:c r="J18" s="1" t="s">
        <x:v>30</x:v>
      </x:c>
      <x:c r="K18" s="1" t="inlineStr">
        <x:is>
          <x:t xml:space="preserve">15 Oct 2026; 668795a; PR17/CI pass. CONDITIONALLY READY: agreed M3 read/status increment, simulated staging only. PED Section 14.</x:t>
        </x:is>
      </x:c>
      <x:c r="L18" s="1" t="s">
        <x:v>31</x:v>
      </x:c>
      <x:c r="M18" s="5" t="s">
        <x:v>85</x:v>
      </x:c>
      <x:c r="N18" s="5" t="s">
        <x:v>203</x:v>
      </x:c>
      <x:c r="O18" s="5" t="s">
        <x:v>204</x:v>
      </x:c>
      <x:c r="P18" s="5" t="s">
        <x:v>35</x:v>
      </x:c>
      <x:c r="Q18" s="5" t="s">
        <x:v>205</x:v>
      </x:c>
      <x:c r="R18" s="5" t="str">
        <x:f>INDEX(Requirements!$B$2:$B$28,MATCH(A18,Requirements!$A$2:$A$28,0))</x:f>
        <x:v>Record a controlled priority for each request and allow authorised staff to change it.</x:v>
      </x:c>
      <x:c r="S18" s="8" t="s">
        <x:v>37</x:v>
      </x:c>
      <x:c r="T18" s="8" t="s">
        <x:v>206</x:v>
      </x:c>
      <x:c r="U18" s="8" t="s">
        <x:v>39</x:v>
      </x:c>
      <x:c r="V18" s="8" t="s">
        <x:v>40</x:v>
      </x:c>
      <x:c r="W18" s="15" t="str">
        <x:v>PARTIALLY IMPLEMENTED</x:v>
      </x:c>
      <x:c r="X18" s="15" t="str">
        <x:v>Not Met</x:v>
      </x:c>
      <x:c r="Y18" s="15" t="str">
        <x:v>Partially Met</x:v>
      </x:c>
      <x:c r="Z18" s="17" t="n">
        <x:f>IF(X18="Met",1,IF(X18="Partially Met",0.5,IF(X18="Not Met",0,"Pending")))</x:f>
        <x:v>0</x:v>
      </x:c>
      <x:c r="AA18" s="17" t="n">
        <x:f>IF(Y18="Met",1,IF(Y18="Partially Met",0.5,IF(Y18="Not Met",0,"Pending")))</x:f>
        <x:v>0.5</x:v>
      </x:c>
      <x:c r="AB18" s="17" t="n">
        <x:f>IF(COUNT(Z18:AA18)=2,SUM(Z18:AA18),"Pending")</x:f>
        <x:v>0.5</x:v>
      </x:c>
      <x:c r="AC18" s="15" t="str">
        <x:v>Controlled priority input and protected update form call a versioned store contract. Evidence: docs/testing-m3.md; docs/evidence/m4-cameron-20261018/summary.md; PR20 where relevant.</x:v>
      </x:c>
      <x:c r="AD18" s="15" t="str">
        <x:v>Default and updated priorities must be persisted and used by real sorting/filtering.</x:v>
      </x:c>
      <x:c r="AE18" s="15" t="str">
        <x:v>Not delivered</x:v>
      </x:c>
    </x:row>
    <x:row r="19" ht="95.0999984741211" customHeight="1">
      <x:c r="A19" s="10" t="s">
        <x:v>207</x:v>
      </x:c>
      <x:c r="B19" s="10" t="s">
        <x:v>208</x:v>
      </x:c>
      <x:c r="C19" s="10" t="s">
        <x:v>209</x:v>
      </x:c>
      <x:c r="D19" s="10" t="s">
        <x:v>210</x:v>
      </x:c>
      <x:c r="E19" s="10" t="str">
        <x:f>INDEX(Requirements!$C$2:$C$28,MATCH(A19,Requirements!$A$2:$A$28,0))</x:f>
        <x:v>Medium</x:v>
      </x:c>
      <x:c r="F19" s="10" t="s">
        <x:v>211</x:v>
      </x:c>
      <x:c r="G19" s="10" t="s">
        <x:v>124</x:v>
      </x:c>
      <x:c r="H19" s="10" t="s">
        <x:v>28</x:v>
      </x:c>
      <x:c r="I19" s="10" t="s">
        <x:v>212</x:v>
      </x:c>
      <x:c r="J19" s="10" t="s">
        <x:v>30</x:v>
      </x:c>
      <x:c r="K19" s="10" t="inlineStr">
        <x:is>
          <x:t xml:space="preserve">15 Oct 2026; 668795a; PR17/CI pass. CONDITIONALLY READY: agreed M3 read/status increment, simulated staging only. PED Section 14.</x:t>
        </x:is>
      </x:c>
      <x:c r="L19" s="10" t="s">
        <x:v>31</x:v>
      </x:c>
      <x:c r="M19" s="6" t="s">
        <x:v>32</x:v>
      </x:c>
      <x:c r="N19" s="6" t="s">
        <x:v>213</x:v>
      </x:c>
      <x:c r="O19" s="6" t="s">
        <x:v>214</x:v>
      </x:c>
      <x:c r="P19" s="6" t="s">
        <x:v>35</x:v>
      </x:c>
      <x:c r="Q19" s="6" t="s">
        <x:v>183</x:v>
      </x:c>
      <x:c r="R19" s="6" t="str">
        <x:f>INDEX(Requirements!$B$2:$B$28,MATCH(A19,Requirements!$A$2:$A$28,0))</x:f>
        <x:v>Allow staff to record due dates and identify overdue requests.</x:v>
      </x:c>
      <x:c r="S19" s="8" t="s">
        <x:v>37</x:v>
      </x:c>
      <x:c r="T19" s="8" t="s">
        <x:v>215</x:v>
      </x:c>
      <x:c r="U19" s="8" t="s">
        <x:v>39</x:v>
      </x:c>
      <x:c r="V19" s="8" t="s">
        <x:v>40</x:v>
      </x:c>
      <x:c r="W19" s="15" t="str">
        <x:v>PARTIALLY IMPLEMENTED</x:v>
      </x:c>
      <x:c r="X19" s="15" t="str">
        <x:v>Not Met</x:v>
      </x:c>
      <x:c r="Y19" s="15" t="str">
        <x:v>Partially Met</x:v>
      </x:c>
      <x:c r="Z19" s="17" t="n">
        <x:f>IF(X19="Met",1,IF(X19="Partially Met",0.5,IF(X19="Not Met",0,"Pending")))</x:f>
        <x:v>0</x:v>
      </x:c>
      <x:c r="AA19" s="17" t="n">
        <x:f>IF(Y19="Met",1,IF(Y19="Partially Met",0.5,IF(Y19="Not Met",0,"Pending")))</x:f>
        <x:v>0.5</x:v>
      </x:c>
      <x:c r="AB19" s="17" t="n">
        <x:f>IF(COUNT(Z19:AA19)=2,SUM(Z19:AA19),"Pending")</x:f>
        <x:v>0.5</x:v>
      </x:c>
      <x:c r="AC19" s="15" t="str">
        <x:v>UTC due-date binding and Bianca’s open/overdue/null-date boundaries checked. Evidence: docs/testing-m3.md; docs/evidence/m4-cameron-20261018/summary.md; PR20 where relevant.</x:v>
      </x:c>
      <x:c r="AD19" s="15" t="str">
        <x:v>Saved due-date audit and actual overdue records await Michael’s adapter.</x:v>
      </x:c>
      <x:c r="AE19" s="15" t="str">
        <x:v>Not delivered</x:v>
      </x:c>
    </x:row>
    <x:row r="20" ht="95.0999984741211" customHeight="1">
      <x:c r="A20" s="1" t="s">
        <x:v>216</x:v>
      </x:c>
      <x:c r="B20" s="1" t="s">
        <x:v>217</x:v>
      </x:c>
      <x:c r="C20" s="1" t="s">
        <x:v>218</x:v>
      </x:c>
      <x:c r="D20" s="1" t="s">
        <x:v>219</x:v>
      </x:c>
      <x:c r="E20" s="1" t="str">
        <x:f>INDEX(Requirements!$C$2:$C$28,MATCH(A20,Requirements!$A$2:$A$28,0))</x:f>
        <x:v>High</x:v>
      </x:c>
      <x:c r="F20" s="1" t="s">
        <x:v>220</x:v>
      </x:c>
      <x:c r="G20" s="1" t="s">
        <x:v>57</x:v>
      </x:c>
      <x:c r="H20" s="1" t="inlineStr">
        <x:is>
          <x:t xml:space="preserve">src/CivicConnect.Web/: RequestAccessPolicy; filtered DTO; versioned status command. M2 PR12; M3 PR14; published combined implementation 668795a (PR17).</x:t>
        </x:is>
      </x:c>
      <x:c r="I20" s="1" t="s">
        <x:v>221</x:v>
      </x:c>
      <x:c r="J20" s="1" t="inlineStr">
        <x:is>
          <x:t xml:space="preserve">M2 requirement/AC unchanged; CR-M3-C01 retained. Bianca/Michael review and PR17 approvals: 14 Oct. Published 668795a; CI verified; docs 15 Oct 2026.</x:t>
        </x:is>
      </x:c>
      <x:c r="K20" s="1" t="inlineStr">
        <x:is>
          <x:t xml:space="preserve">15 Oct 2026; 668795a; PR17/CI pass. CONDITIONALLY READY: agreed M3 read/status increment, simulated staging only. PED Section 14.</x:t>
        </x:is>
      </x:c>
      <x:c r="L20" s="1" t="s">
        <x:v>59</x:v>
      </x:c>
      <x:c r="M20" s="5" t="s">
        <x:v>60</x:v>
      </x:c>
      <x:c r="N20" s="5" t="s">
        <x:v>222</x:v>
      </x:c>
      <x:c r="O20" s="5" t="s">
        <x:v>62</x:v>
      </x:c>
      <x:c r="P20" s="5" t="s">
        <x:v>35</x:v>
      </x:c>
      <x:c r="Q20" s="5" t="s">
        <x:v>223</x:v>
      </x:c>
      <x:c r="R20" s="5" t="str">
        <x:f>INDEX(Requirements!$B$2:$B$28,MATCH(A20,Requirements!$A$2:$A$28,0))</x:f>
        <x:v>Protect requests using role and record-level access controls.</x:v>
      </x:c>
      <x:c r="S20" s="8" t="s">
        <x:v>224</x:v>
      </x:c>
      <x:c r="T20" s="8" t="s">
        <x:v>225</x:v>
      </x:c>
      <x:c r="U20" s="8" t="s">
        <x:v>66</x:v>
      </x:c>
      <x:c r="V20" s="8" t="s">
        <x:v>67</x:v>
      </x:c>
      <x:c r="W20" s="15" t="str">
        <x:v>IMPLEMENTED</x:v>
      </x:c>
      <x:c r="X20" s="15" t="str">
        <x:v>Met</x:v>
      </x:c>
      <x:c r="Y20" s="15" t="str">
        <x:v>Met</x:v>
      </x:c>
      <x:c r="Z20" s="17" t="n">
        <x:f>IF(X20="Met",1,IF(X20="Partially Met",0.5,IF(X20="Not Met",0,"Pending")))</x:f>
        <x:v>1</x:v>
      </x:c>
      <x:c r="AA20" s="17" t="n">
        <x:f>IF(Y20="Met",1,IF(Y20="Partially Met",0.5,IF(Y20="Not Met",0,"Pending")))</x:f>
        <x:v>1</x:v>
      </x:c>
      <x:c r="AB20" s="17" t="n">
        <x:f>IF(COUNT(Z20:AA20)=2,SUM(Z20:AA20),"Pending")</x:f>
        <x:v>2</x:v>
      </x:c>
      <x:c r="AC20" s="15" t="str">
        <x:v>Existing read/status access matrix passes; new role/category, privacy and session checks pass. Evidence: docs/testing-m3.md; docs/evidence/m4-cameron-20261018/summary.md; PR20 where relevant.</x:v>
      </x:c>
      <x:c r="AD20" s="15" t="str">
        <x:v>Confidence is limited to tested surfaces; review every new adapter/query before final acceptance.</x:v>
      </x:c>
      <x:c r="AE20" s="15" t="str">
        <x:v>Verified</x:v>
      </x:c>
    </x:row>
    <x:row r="21" ht="95.0999984741211" customHeight="1">
      <x:c r="A21" s="10" t="s">
        <x:v>226</x:v>
      </x:c>
      <x:c r="B21" s="10" t="s">
        <x:v>227</x:v>
      </x:c>
      <x:c r="C21" s="10" t="s">
        <x:v>228</x:v>
      </x:c>
      <x:c r="D21" s="10" t="s">
        <x:v>229</x:v>
      </x:c>
      <x:c r="E21" s="10" t="str">
        <x:f>INDEX(Requirements!$C$2:$C$28,MATCH(A21,Requirements!$A$2:$A$28,0))</x:f>
        <x:v>Medium</x:v>
      </x:c>
      <x:c r="F21" s="10" t="s">
        <x:v>230</x:v>
      </x:c>
      <x:c r="G21" s="10" t="s">
        <x:v>231</x:v>
      </x:c>
      <x:c r="H21" s="10" t="inlineStr">
        <x:is>
          <x:t xml:space="preserve">tests/CivicConnect.PerformanceTests/Program.cs; EfRequestReader/PostgreSQL. PR16 performance merged into combined published implementation 668795a through PR17.</x:t>
        </x:is>
      </x:c>
      <x:c r="I21" s="10" t="s">
        <x:v>232</x:v>
      </x:c>
      <x:c r="J21" s="10" t="inlineStr">
        <x:is>
          <x:t xml:space="preserve">M2 acceptance criteria unchanged. Original PERF-01 second run confirmed 14 Oct; combined main CI passes on 668795a. Full pilot acceptance remains unverified.</x:t>
        </x:is>
      </x:c>
      <x:c r="K21" s="10" t="inlineStr">
        <x:is>
          <x:t xml:space="preserve">15 Oct 2026; 668795a; PR17/CI pass. CONDITIONALLY READY: agreed M3 read/status increment, simulated staging only. PED Section 14.</x:t>
        </x:is>
      </x:c>
      <x:c r="L21" s="10" t="s">
        <x:v>59</x:v>
      </x:c>
      <x:c r="M21" s="6" t="s">
        <x:v>233</x:v>
      </x:c>
      <x:c r="N21" s="6" t="s">
        <x:v>234</x:v>
      </x:c>
      <x:c r="O21" s="6" t="s">
        <x:v>235</x:v>
      </x:c>
      <x:c r="P21" s="6" t="s">
        <x:v>35</x:v>
      </x:c>
      <x:c r="Q21" s="6" t="s">
        <x:v>236</x:v>
      </x:c>
      <x:c r="R21" s="6" t="str">
        <x:f>INDEX(Requirements!$B$2:$B$28,MATCH(A21,Requirements!$A$2:$A$28,0))</x:f>
        <x:v>Complete at least 95% of submissions, status views, staff searches and management summaries within 3 seconds at pilot load, with at most 1% failures.</x:v>
      </x:c>
      <x:c r="S21" s="8" t="s">
        <x:v>237</x:v>
      </x:c>
      <x:c r="T21" s="8" t="s">
        <x:v>238</x:v>
      </x:c>
      <x:c r="U21" s="8" t="inlineStr">
        <x:is>
          <x:t xml:space="preserve">PERF-01: docs/evidence/m3-performance-results.txt and m3-performance-run-confirmation.md; original execution SHA unconfirmed. Combined main CI on 668795a: https://github.com/Michael-Ellis819/Virtual_Group_K_SEN381_Project/actions/runs/38594557024 (all four projects; separate from original human benchmark).</x:t>
        </x:is>
      </x:c>
      <x:c r="V21" s="8" t="s">
        <x:v>239</x:v>
      </x:c>
      <x:c r="W21" s="15" t="str">
        <x:v>PARTIALLY IMPLEMENTED</x:v>
      </x:c>
      <x:c r="X21" s="15" t="str">
        <x:v>Not Met</x:v>
      </x:c>
      <x:c r="Y21" s="15" t="str">
        <x:v>Not Met</x:v>
      </x:c>
      <x:c r="Z21" s="17" t="n">
        <x:f>IF(X21="Met",1,IF(X21="Partially Met",0.5,IF(X21="Not Met",0,"Pending")))</x:f>
        <x:v>0</x:v>
      </x:c>
      <x:c r="AA21" s="17" t="n">
        <x:f>IF(Y21="Met",1,IF(Y21="Partially Met",0.5,IF(Y21="Not Met",0,"Pending")))</x:f>
        <x:v>0</x:v>
      </x:c>
      <x:c r="AB21" s="17" t="n">
        <x:f>IF(COUNT(Z21:AA21)=2,SUM(Z21:AA21),"Pending")</x:f>
        <x:v>0</x:v>
      </x:c>
      <x:c r="AC21" s="15" t="str">
        <x:v>PR20 records a paced database-read exercise; original user-visible workload is not established. Evidence: docs/testing-m3.md; docs/evidence/m4-cameron-20261018/summary.md; PR20 where relevant.</x:v>
      </x:c>
      <x:c r="AD21" s="15" t="str">
        <x:v>Four separate user-visible operations, specified dataset/load, failures and cold start remain unverified.</x:v>
      </x:c>
      <x:c r="AE21" s="15" t="str">
        <x:v>Not delivered</x:v>
      </x:c>
    </x:row>
    <x:row r="22" ht="95.0999984741211" customHeight="1">
      <x:c r="A22" s="1" t="s">
        <x:v>240</x:v>
      </x:c>
      <x:c r="B22" s="1" t="s">
        <x:v>241</x:v>
      </x:c>
      <x:c r="C22" s="1" t="s">
        <x:v>242</x:v>
      </x:c>
      <x:c r="D22" s="1" t="s">
        <x:v>243</x:v>
      </x:c>
      <x:c r="E22" s="1" t="str">
        <x:f>INDEX(Requirements!$C$2:$C$28,MATCH(A22,Requirements!$A$2:$A$28,0))</x:f>
        <x:v>High</x:v>
      </x:c>
      <x:c r="F22" s="1" t="s">
        <x:v>244</x:v>
      </x:c>
      <x:c r="G22" s="1" t="s">
        <x:v>83</x:v>
      </x:c>
      <x:c r="H22" s="1" t="inlineStr">
        <x:is>
          <x:t xml:space="preserve">src/CivicConnect.Web/: EF transaction; concurrency version; status coordinator. M2 PR12; M3 PR14; published combined implementation 668795a (PR17).</x:t>
        </x:is>
      </x:c>
      <x:c r="I22" s="1" t="s">
        <x:v>245</x:v>
      </x:c>
      <x:c r="J22" s="1" t="inlineStr">
        <x:is>
          <x:t xml:space="preserve">M2 requirement/AC unchanged; CR-M3-C01 retained. Bianca/Michael review and PR17 approvals: 14 Oct. Published 668795a; CI verified; docs 15 Oct 2026.</x:t>
        </x:is>
      </x:c>
      <x:c r="K22" s="1" t="inlineStr">
        <x:is>
          <x:t xml:space="preserve">15 Oct 2026; 668795a; PR17/CI pass. CONDITIONALLY READY: agreed M3 read/status increment, simulated staging only. PED Section 14.</x:t>
        </x:is>
      </x:c>
      <x:c r="L22" s="1" t="s">
        <x:v>59</x:v>
      </x:c>
      <x:c r="M22" s="5" t="s">
        <x:v>48</x:v>
      </x:c>
      <x:c r="N22" s="5" t="s">
        <x:v>246</x:v>
      </x:c>
      <x:c r="O22" s="5" t="s">
        <x:v>87</x:v>
      </x:c>
      <x:c r="P22" s="5" t="s">
        <x:v>35</x:v>
      </x:c>
      <x:c r="Q22" s="5" t="s">
        <x:v>128</x:v>
      </x:c>
      <x:c r="R22" s="5" t="str">
        <x:f>INDEX(Requirements!$B$2:$B$28,MATCH(A22,Requirements!$A$2:$A$28,0))</x:f>
        <x:v>Save request data and its history together without partial updates.</x:v>
      </x:c>
      <x:c r="S22" s="8" t="s">
        <x:v>247</x:v>
      </x:c>
      <x:c r="T22" s="8" t="s">
        <x:v>248</x:v>
      </x:c>
      <x:c r="U22" s="8" t="s">
        <x:v>66</x:v>
      </x:c>
      <x:c r="V22" s="8" t="s">
        <x:v>67</x:v>
      </x:c>
      <x:c r="W22" s="15" t="str">
        <x:v>PARTIALLY IMPLEMENTED</x:v>
      </x:c>
      <x:c r="X22" s="15" t="str">
        <x:v>Partially Met</x:v>
      </x:c>
      <x:c r="Y22" s="15" t="str">
        <x:v>Partially Met</x:v>
      </x:c>
      <x:c r="Z22" s="17" t="n">
        <x:f>IF(X22="Met",1,IF(X22="Partially Met",0.5,IF(X22="Not Met",0,"Pending")))</x:f>
        <x:v>0.5</x:v>
      </x:c>
      <x:c r="AA22" s="17" t="n">
        <x:f>IF(Y22="Met",1,IF(Y22="Partially Met",0.5,IF(Y22="Not Met",0,"Pending")))</x:f>
        <x:v>0.5</x:v>
      </x:c>
      <x:c r="AB22" s="17" t="n">
        <x:f>IF(COUNT(Z22:AA22)=2,SUM(Z22:AA22),"Pending")</x:f>
        <x:v>1</x:v>
      </x:c>
      <x:c r="AC22" s="15" t="str">
        <x:v>PostgreSQL status rollback/concurrency verified; submission keys are preserved by the UI contract. Evidence: docs/testing-m3.md; docs/evidence/m4-cameron-20261018/summary.md; PR20 where relevant.</x:v>
      </x:c>
      <x:c r="AD22" s="15" t="str">
        <x:v>Durable idempotency, assignment atomicity and full restart acceptance remain open.</x:v>
      </x:c>
      <x:c r="AE22" s="15" t="str">
        <x:v>Not delivered</x:v>
      </x:c>
    </x:row>
    <x:row r="23" ht="95.0999984741211" customHeight="1">
      <x:c r="A23" s="10" t="s">
        <x:v>249</x:v>
      </x:c>
      <x:c r="B23" s="10" t="s">
        <x:v>250</x:v>
      </x:c>
      <x:c r="C23" s="10" t="s">
        <x:v>251</x:v>
      </x:c>
      <x:c r="D23" s="10" t="s">
        <x:v>252</x:v>
      </x:c>
      <x:c r="E23" s="10" t="str">
        <x:f>INDEX(Requirements!$C$2:$C$28,MATCH(A23,Requirements!$A$2:$A$28,0))</x:f>
        <x:v>Medium</x:v>
      </x:c>
      <x:c r="F23" s="10" t="s">
        <x:v>253</x:v>
      </x:c>
      <x:c r="G23" s="10" t="s">
        <x:v>254</x:v>
      </x:c>
      <x:c r="H23" s="10" t="s">
        <x:v>28</x:v>
      </x:c>
      <x:c r="I23" s="10" t="s">
        <x:v>255</x:v>
      </x:c>
      <x:c r="J23" s="10" t="s">
        <x:v>30</x:v>
      </x:c>
      <x:c r="K23" s="10" t="inlineStr">
        <x:is>
          <x:t xml:space="preserve">15 Oct 2026; 668795a; PR17/CI pass. CONDITIONALLY READY: agreed M3 read/status increment, simulated staging only. PED Section 14.</x:t>
        </x:is>
      </x:c>
      <x:c r="L23" s="10" t="s">
        <x:v>31</x:v>
      </x:c>
      <x:c r="M23" s="6" t="s">
        <x:v>256</x:v>
      </x:c>
      <x:c r="N23" s="6" t="s">
        <x:v>257</x:v>
      </x:c>
      <x:c r="O23" s="6" t="s">
        <x:v>258</x:v>
      </x:c>
      <x:c r="P23" s="6" t="s">
        <x:v>35</x:v>
      </x:c>
      <x:c r="Q23" s="6" t="s">
        <x:v>259</x:v>
      </x:c>
      <x:c r="R23" s="6" t="str">
        <x:f>INDEX(Requirements!$B$2:$B$28,MATCH(A23,Requirements!$A$2:$A$28,0))</x:f>
        <x:v>Make request submission and status checking easy for users with basic digital skills.</x:v>
      </x:c>
      <x:c r="S23" s="8" t="s">
        <x:v>37</x:v>
      </x:c>
      <x:c r="T23" s="8" t="s">
        <x:v>260</x:v>
      </x:c>
      <x:c r="U23" s="8" t="s">
        <x:v>39</x:v>
      </x:c>
      <x:c r="V23" s="8" t="s">
        <x:v>40</x:v>
      </x:c>
      <x:c r="W23" s="15" t="str">
        <x:v>NOT IMPLEMENTED</x:v>
      </x:c>
      <x:c r="X23" s="15" t="str">
        <x:v>Not Met</x:v>
      </x:c>
      <x:c r="Y23" s="15" t="str">
        <x:v>Not Met</x:v>
      </x:c>
      <x:c r="Z23" s="17" t="n">
        <x:f>IF(X23="Met",1,IF(X23="Partially Met",0.5,IF(X23="Not Met",0,"Pending")))</x:f>
        <x:v>0</x:v>
      </x:c>
      <x:c r="AA23" s="17" t="n">
        <x:f>IF(Y23="Met",1,IF(Y23="Partially Met",0.5,IF(Y23="Not Met",0,"Pending")))</x:f>
        <x:v>0</x:v>
      </x:c>
      <x:c r="AB23" s="17" t="n">
        <x:f>IF(COUNT(Z23:AA23)=2,SUM(Z23:AA23),"Pending")</x:f>
        <x:v>0</x:v>
      </x:c>
      <x:c r="AC23" s="15" t="str">
        <x:v>No representative participant exercise is supplied. Evidence: docs/testing-m3.md; docs/evidence/m4-cameron-20261018/summary.md; PR20 where relevant.</x:v>
      </x:c>
      <x:c r="AD23" s="15" t="str">
        <x:v>Five-participant task/time/error records are required; synthetic UI checks are not usability acceptance.</x:v>
      </x:c>
      <x:c r="AE23" s="15" t="str">
        <x:v>Not delivered</x:v>
      </x:c>
    </x:row>
    <x:row r="24" ht="95.0999984741211" customHeight="1">
      <x:c r="A24" s="1" t="s">
        <x:v>261</x:v>
      </x:c>
      <x:c r="B24" s="1" t="s">
        <x:v>262</x:v>
      </x:c>
      <x:c r="C24" s="1" t="s">
        <x:v>263</x:v>
      </x:c>
      <x:c r="D24" s="1" t="s">
        <x:v>264</x:v>
      </x:c>
      <x:c r="E24" s="1" t="str">
        <x:f>INDEX(Requirements!$C$2:$C$28,MATCH(A24,Requirements!$A$2:$A$28,0))</x:f>
        <x:v>Medium</x:v>
      </x:c>
      <x:c r="F24" s="1" t="s">
        <x:v>265</x:v>
      </x:c>
      <x:c r="G24" s="1" t="s">
        <x:v>254</x:v>
      </x:c>
      <x:c r="H24" s="1" t="s">
        <x:v>28</x:v>
      </x:c>
      <x:c r="I24" s="1" t="s">
        <x:v>266</x:v>
      </x:c>
      <x:c r="J24" s="1" t="s">
        <x:v>30</x:v>
      </x:c>
      <x:c r="K24" s="1" t="inlineStr">
        <x:is>
          <x:t xml:space="preserve">15 Oct 2026; 668795a; PR17/CI pass. CONDITIONALLY READY: agreed M3 read/status increment, simulated staging only. PED Section 14.</x:t>
        </x:is>
      </x:c>
      <x:c r="L24" s="1" t="s">
        <x:v>31</x:v>
      </x:c>
      <x:c r="M24" s="5" t="s">
        <x:v>267</x:v>
      </x:c>
      <x:c r="N24" s="5" t="s">
        <x:v>268</x:v>
      </x:c>
      <x:c r="O24" s="5" t="s">
        <x:v>258</x:v>
      </x:c>
      <x:c r="P24" s="5" t="s">
        <x:v>35</x:v>
      </x:c>
      <x:c r="Q24" s="5" t="s">
        <x:v>259</x:v>
      </x:c>
      <x:c r="R24" s="5" t="str">
        <x:f>INDEX(Requirements!$B$2:$B$28,MATCH(A24,Requirements!$A$2:$A$28,0))</x:f>
        <x:v>Provide a responsive web interface that supports keyboard use.</x:v>
      </x:c>
      <x:c r="S24" s="8" t="s">
        <x:v>37</x:v>
      </x:c>
      <x:c r="T24" s="8" t="s">
        <x:v>269</x:v>
      </x:c>
      <x:c r="U24" s="8" t="s">
        <x:v>39</x:v>
      </x:c>
      <x:c r="V24" s="8" t="s">
        <x:v>40</x:v>
      </x:c>
      <x:c r="W24" s="15" t="str">
        <x:v>PARTIALLY IMPLEMENTED</x:v>
      </x:c>
      <x:c r="X24" s="15" t="str">
        <x:v>Not Met</x:v>
      </x:c>
      <x:c r="Y24" s="15" t="str">
        <x:v>Partially Met</x:v>
      </x:c>
      <x:c r="Z24" s="17" t="n">
        <x:f>IF(X24="Met",1,IF(X24="Partially Met",0.5,IF(X24="Not Met",0,"Pending")))</x:f>
        <x:v>0</x:v>
      </x:c>
      <x:c r="AA24" s="17" t="n">
        <x:f>IF(Y24="Met",1,IF(Y24="Partially Met",0.5,IF(Y24="Not Met",0,"Pending")))</x:f>
        <x:v>0.5</x:v>
      </x:c>
      <x:c r="AB24" s="17" t="n">
        <x:f>IF(COUNT(Z24:AA24)=2,SUM(Z24:AA24),"Pending")</x:f>
        <x:v>0.5</x:v>
      </x:c>
      <x:c r="AC24" s="15" t="str">
        <x:v>Current 558px browser layout inspected; keyboard sign-in and submission exercised. Evidence: docs/testing-m3.md; docs/evidence/m4-cameron-20261018/summary.md; PR20 where relevant.</x:v>
      </x:c>
      <x:c r="AD24" s="15" t="str">
        <x:v>360/1366 Chrome-and-Edge matrix and complete keyboard/error journey remain unverified.</x:v>
      </x:c>
      <x:c r="AE24" s="15" t="str">
        <x:v>Not delivered</x:v>
      </x:c>
    </x:row>
    <x:row r="25" ht="95.0999984741211" customHeight="1">
      <x:c r="A25" s="10" t="s">
        <x:v>270</x:v>
      </x:c>
      <x:c r="B25" s="10" t="s">
        <x:v>271</x:v>
      </x:c>
      <x:c r="C25" s="10" t="s">
        <x:v>272</x:v>
      </x:c>
      <x:c r="D25" s="10" t="s">
        <x:v>273</x:v>
      </x:c>
      <x:c r="E25" s="10" t="str">
        <x:f>INDEX(Requirements!$C$2:$C$28,MATCH(A25,Requirements!$A$2:$A$28,0))</x:f>
        <x:v>High</x:v>
      </x:c>
      <x:c r="F25" s="10" t="s">
        <x:v>274</x:v>
      </x:c>
      <x:c r="G25" s="10" t="s">
        <x:v>275</x:v>
      </x:c>
      <x:c r="H25" s="10" t="inlineStr">
        <x:is>
          <x:t xml:space="preserve">src/CivicConnect.Web/: Secure cookies; temporary HTTPS test host. M2 PR12; M3 PR14; published combined implementation 668795a (PR17).</x:t>
        </x:is>
      </x:c>
      <x:c r="I25" s="10" t="s">
        <x:v>276</x:v>
      </x:c>
      <x:c r="J25" s="10" t="inlineStr">
        <x:is>
          <x:t xml:space="preserve">M2 requirement/AC unchanged; CR-M3-C01 retained. Bianca/Michael review and PR17 approvals: 14 Oct. Published 668795a; CI verified; docs 15 Oct 2026.</x:t>
        </x:is>
      </x:c>
      <x:c r="K25" s="10" t="inlineStr">
        <x:is>
          <x:t xml:space="preserve">15 Oct 2026; 668795a; PR17/CI pass. CONDITIONALLY READY: agreed M3 read/status increment, simulated staging only. PED Section 14.</x:t>
        </x:is>
      </x:c>
      <x:c r="L25" s="10" t="s">
        <x:v>59</x:v>
      </x:c>
      <x:c r="M25" s="6" t="s">
        <x:v>277</x:v>
      </x:c>
      <x:c r="N25" s="6" t="s">
        <x:v>278</x:v>
      </x:c>
      <x:c r="O25" s="6" t="s">
        <x:v>279</x:v>
      </x:c>
      <x:c r="P25" s="6" t="s">
        <x:v>35</x:v>
      </x:c>
      <x:c r="Q25" s="6" t="s">
        <x:v>280</x:v>
      </x:c>
      <x:c r="R25" s="6" t="str">
        <x:f>INDEX(Requirements!$B$2:$B$28,MATCH(A25,Requirements!$A$2:$A$28,0))</x:f>
        <x:v>Use HTTPS to protect authentication and request data in deployed environments.</x:v>
      </x:c>
      <x:c r="S25" s="8" t="s">
        <x:v>281</x:v>
      </x:c>
      <x:c r="T25" s="8" t="s">
        <x:v>282</x:v>
      </x:c>
      <x:c r="U25" s="8" t="s">
        <x:v>66</x:v>
      </x:c>
      <x:c r="V25" s="8" t="s">
        <x:v>67</x:v>
      </x:c>
      <x:c r="W25" s="15" t="str">
        <x:v>PARTIALLY IMPLEMENTED</x:v>
      </x:c>
      <x:c r="X25" s="15" t="str">
        <x:v>Partially Met</x:v>
      </x:c>
      <x:c r="Y25" s="15" t="str">
        <x:v>Partially Met</x:v>
      </x:c>
      <x:c r="Z25" s="17" t="n">
        <x:f>IF(X25="Met",1,IF(X25="Partially Met",0.5,IF(X25="Not Met",0,"Pending")))</x:f>
        <x:v>0.5</x:v>
      </x:c>
      <x:c r="AA25" s="17" t="n">
        <x:f>IF(Y25="Met",1,IF(Y25="Partially Met",0.5,IF(Y25="Not Met",0,"Pending")))</x:f>
        <x:v>0.5</x:v>
      </x:c>
      <x:c r="AB25" s="17" t="n">
        <x:f>IF(COUNT(Z25:AA25)=2,SUM(Z25:AA25),"Pending")</x:f>
        <x:v>1</x:v>
      </x:c>
      <x:c r="AC25" s="15" t="str">
        <x:v>M3 HTTPS test host and PR20 local HTTPS redirect evidence exist; Secure cookies retained. Evidence: docs/testing-m3.md; docs/evidence/m4-cameron-20261018/summary.md; PR20 where relevant.</x:v>
      </x:c>
      <x:c r="AD25" s="15" t="str">
        <x:v>Final deployed certificate, sign-in/protected browser pages and mixed-content checks remain unverified.</x:v>
      </x:c>
      <x:c r="AE25" s="15" t="str">
        <x:v>Not delivered</x:v>
      </x:c>
    </x:row>
    <x:row r="26" ht="95.0999984741211" customHeight="1">
      <x:c r="A26" s="1" t="s">
        <x:v>283</x:v>
      </x:c>
      <x:c r="B26" s="1" t="s">
        <x:v>284</x:v>
      </x:c>
      <x:c r="C26" s="1" t="s">
        <x:v>285</x:v>
      </x:c>
      <x:c r="D26" s="1" t="s">
        <x:v>286</x:v>
      </x:c>
      <x:c r="E26" s="1" t="str">
        <x:f>INDEX(Requirements!$C$2:$C$28,MATCH(A26,Requirements!$A$2:$A$28,0))</x:f>
        <x:v>Medium</x:v>
      </x:c>
      <x:c r="F26" s="1" t="s">
        <x:v>287</x:v>
      </x:c>
      <x:c r="G26" s="1" t="s">
        <x:v>46</x:v>
      </x:c>
      <x:c r="H26" s="1" t="s">
        <x:v>28</x:v>
      </x:c>
      <x:c r="I26" s="1" t="s">
        <x:v>288</x:v>
      </x:c>
      <x:c r="J26" s="1" t="s">
        <x:v>30</x:v>
      </x:c>
      <x:c r="K26" s="1" t="inlineStr">
        <x:is>
          <x:t xml:space="preserve">15 Oct 2026; 668795a; PR17/CI pass. CONDITIONALLY READY: agreed M3 read/status increment, simulated staging only. PED Section 14.</x:t>
        </x:is>
      </x:c>
      <x:c r="L26" s="1" t="s">
        <x:v>31</x:v>
      </x:c>
      <x:c r="M26" s="5" t="s">
        <x:v>289</x:v>
      </x:c>
      <x:c r="N26" s="5" t="s">
        <x:v>290</x:v>
      </x:c>
      <x:c r="O26" s="5" t="s">
        <x:v>291</x:v>
      </x:c>
      <x:c r="P26" s="5" t="s">
        <x:v>35</x:v>
      </x:c>
      <x:c r="Q26" s="5" t="s">
        <x:v>292</x:v>
      </x:c>
      <x:c r="R26" s="5" t="str">
        <x:f>INDEX(Requirements!$B$2:$B$28,MATCH(A26,Requirements!$A$2:$A$28,0))</x:f>
        <x:v>Support recovery with no more than 24 hours of lost data and restoration within four hours.</x:v>
      </x:c>
      <x:c r="S26" s="8" t="s">
        <x:v>37</x:v>
      </x:c>
      <x:c r="T26" s="8" t="s">
        <x:v>293</x:v>
      </x:c>
      <x:c r="U26" s="8" t="s">
        <x:v>39</x:v>
      </x:c>
      <x:c r="V26" s="8" t="s">
        <x:v>40</x:v>
      </x:c>
      <x:c r="W26" s="15" t="str">
        <x:v>PARTIALLY IMPLEMENTED</x:v>
      </x:c>
      <x:c r="X26" s="15" t="str">
        <x:v>Partially Met</x:v>
      </x:c>
      <x:c r="Y26" s="15" t="str">
        <x:v>Partially Met</x:v>
      </x:c>
      <x:c r="Z26" s="17" t="n">
        <x:f>IF(X26="Met",1,IF(X26="Partially Met",0.5,IF(X26="Not Met",0,"Pending")))</x:f>
        <x:v>0.5</x:v>
      </x:c>
      <x:c r="AA26" s="17" t="n">
        <x:f>IF(Y26="Met",1,IF(Y26="Partially Met",0.5,IF(Y26="Not Met",0,"Pending")))</x:f>
        <x:v>0.5</x:v>
      </x:c>
      <x:c r="AB26" s="17" t="n">
        <x:f>IF(COUNT(Z26:AA26)=2,SUM(Z26:AA26),"Pending")</x:f>
        <x:v>1</x:v>
      </x:c>
      <x:c r="AC26" s="15" t="str">
        <x:v>Michael’s PR20 restores tables and matching record counts to a separate database. Evidence: docs/testing-m3.md; docs/evidence/m4-cameron-20261018/summary.md; PR20 where relevant.</x:v>
      </x:c>
      <x:c r="AD26" s="15" t="str">
        <x:v>Backup age, timed restoration, RPO/RTO and consistent owner/history recovery are not established.</x:v>
      </x:c>
      <x:c r="AE26" s="15" t="str">
        <x:v>Not delivered</x:v>
      </x:c>
    </x:row>
    <x:row r="27" ht="95.0999984741211" customHeight="1">
      <x:c r="A27" s="10" t="s">
        <x:v>294</x:v>
      </x:c>
      <x:c r="B27" s="10" t="s">
        <x:v>295</x:v>
      </x:c>
      <x:c r="C27" s="10" t="s">
        <x:v>296</x:v>
      </x:c>
      <x:c r="D27" s="10" t="s">
        <x:v>297</x:v>
      </x:c>
      <x:c r="E27" s="10" t="str">
        <x:f>INDEX(Requirements!$C$2:$C$28,MATCH(A27,Requirements!$A$2:$A$28,0))</x:f>
        <x:v>High</x:v>
      </x:c>
      <x:c r="F27" s="10" t="s">
        <x:v>298</x:v>
      </x:c>
      <x:c r="G27" s="10" t="s">
        <x:v>299</x:v>
      </x:c>
      <x:c r="H27" s="10" t="inlineStr">
        <x:is>
          <x:t xml:space="preserve">src/CivicConnect.Web/: Generic HTTP exception boundary. M2 PR12; M3 PR14; published combined implementation 668795a (PR17).</x:t>
        </x:is>
      </x:c>
      <x:c r="I27" s="10" t="s">
        <x:v>300</x:v>
      </x:c>
      <x:c r="J27" s="10" t="inlineStr">
        <x:is>
          <x:t xml:space="preserve">M2 requirement/AC unchanged; CR-M3-C01 retained. Bianca/Michael review and PR17 approvals: 14 Oct. Published 668795a; CI verified; docs 15 Oct 2026.</x:t>
        </x:is>
      </x:c>
      <x:c r="K27" s="10" t="inlineStr">
        <x:is>
          <x:t xml:space="preserve">15 Oct 2026; 668795a; PR17/CI pass. CONDITIONALLY READY: agreed M3 read/status increment, simulated staging only. PED Section 14.</x:t>
        </x:is>
      </x:c>
      <x:c r="L27" s="10" t="s">
        <x:v>59</x:v>
      </x:c>
      <x:c r="M27" s="6" t="s">
        <x:v>301</x:v>
      </x:c>
      <x:c r="N27" s="6" t="s">
        <x:v>302</x:v>
      </x:c>
      <x:c r="O27" s="6" t="s">
        <x:v>303</x:v>
      </x:c>
      <x:c r="P27" s="6" t="s">
        <x:v>35</x:v>
      </x:c>
      <x:c r="Q27" s="6" t="s">
        <x:v>304</x:v>
      </x:c>
      <x:c r="R27" s="6" t="str">
        <x:f>INDEX(Requirements!$B$2:$B$28,MATCH(A27,Requirements!$A$2:$A$28,0))</x:f>
        <x:v>Keep sensitive information out of application logs and error messages.</x:v>
      </x:c>
      <x:c r="S27" s="8" t="s">
        <x:v>305</x:v>
      </x:c>
      <x:c r="T27" s="8" t="s">
        <x:v>306</x:v>
      </x:c>
      <x:c r="U27" s="8" t="s">
        <x:v>66</x:v>
      </x:c>
      <x:c r="V27" s="8" t="s">
        <x:v>67</x:v>
      </x:c>
      <x:c r="W27" s="15" t="str">
        <x:v>PARTIALLY IMPLEMENTED</x:v>
      </x:c>
      <x:c r="X27" s="15" t="str">
        <x:v>Partially Met</x:v>
      </x:c>
      <x:c r="Y27" s="15" t="str">
        <x:v>Partially Met</x:v>
      </x:c>
      <x:c r="Z27" s="17" t="n">
        <x:f>IF(X27="Met",1,IF(X27="Partially Met",0.5,IF(X27="Not Met",0,"Pending")))</x:f>
        <x:v>0.5</x:v>
      </x:c>
      <x:c r="AA27" s="17" t="n">
        <x:f>IF(Y27="Met",1,IF(Y27="Partially Met",0.5,IF(Y27="Not Met",0,"Pending")))</x:f>
        <x:v>0.5</x:v>
      </x:c>
      <x:c r="AB27" s="17" t="n">
        <x:f>IF(COUNT(Z27:AA27)=2,SUM(Z27:AA27),"Pending")</x:f>
        <x:v>1</x:v>
      </x:c>
      <x:c r="AC27" s="15" t="str">
        <x:v>M3 safe-error checks and new action-specific messages exclude private payloads from responses. Evidence: docs/testing-m3.md; docs/evidence/m4-cameron-20261018/summary.md; PR20 where relevant.</x:v>
      </x:c>
      <x:c r="AD27" s="15" t="str">
        <x:v>A complete dummy-secret/private-content log audit remains outstanding.</x:v>
      </x:c>
      <x:c r="AE27" s="15" t="str">
        <x:v>Not delivered</x:v>
      </x:c>
    </x:row>
    <x:row r="28" ht="95.0999984741211" customHeight="1">
      <x:c r="A28" s="1" t="s">
        <x:v>307</x:v>
      </x:c>
      <x:c r="B28" s="1" t="s">
        <x:v>308</x:v>
      </x:c>
      <x:c r="C28" s="1" t="s">
        <x:v>309</x:v>
      </x:c>
      <x:c r="D28" s="1" t="s">
        <x:v>310</x:v>
      </x:c>
      <x:c r="E28" s="1" t="str">
        <x:f>INDEX(Requirements!$C$2:$C$28,MATCH(A28,Requirements!$A$2:$A$28,0))</x:f>
        <x:v>High</x:v>
      </x:c>
      <x:c r="F28" s="1" t="s">
        <x:v>311</x:v>
      </x:c>
      <x:c r="G28" s="1" t="s">
        <x:v>312</x:v>
      </x:c>
      <x:c r="H28" s="1" t="inlineStr">
        <x:is>
          <x:t xml:space="preserve">src/CivicConnect.Web/: Injected reader/policy/writer; isolated executable suites. M2 PR12; M3 PR14; published combined implementation 668795a (PR17).</x:t>
        </x:is>
      </x:c>
      <x:c r="I28" s="1" t="s">
        <x:v>313</x:v>
      </x:c>
      <x:c r="J28" s="1" t="inlineStr">
        <x:is>
          <x:t xml:space="preserve">M2 requirement/AC unchanged; CR-M3-C01 retained. Bianca/Michael review and PR17 approvals: 14 Oct. Published 668795a; CI verified; docs 15 Oct 2026.</x:t>
        </x:is>
      </x:c>
      <x:c r="K28" s="1" t="inlineStr">
        <x:is>
          <x:t xml:space="preserve">15 Oct 2026; 668795a; PR17/CI pass. CONDITIONALLY READY: agreed M3 read/status increment, simulated staging only. PED Section 14.</x:t>
        </x:is>
      </x:c>
      <x:c r="L28" s="1" t="s">
        <x:v>59</x:v>
      </x:c>
      <x:c r="M28" s="5" t="s">
        <x:v>314</x:v>
      </x:c>
      <x:c r="N28" s="5" t="s">
        <x:v>315</x:v>
      </x:c>
      <x:c r="O28" s="5" t="s">
        <x:v>316</x:v>
      </x:c>
      <x:c r="P28" s="5" t="s">
        <x:v>35</x:v>
      </x:c>
      <x:c r="Q28" s="5" t="inlineStr">
        <x:is>
          <x:t xml:space="preserve">R-009; R-038; R-047 closed for tested lifecycle; R-053 closed for current combined CI coverage (run 38594557024).</x:t>
        </x:is>
      </x:c>
      <x:c r="R28" s="5" t="str">
        <x:f>INDEX(Requirements!$B$2:$B$28,MATCH(A28,Requirements!$A$2:$A$28,0))</x:f>
        <x:v>Allow core request rules to be tested with controlled data in a separate test environment.</x:v>
      </x:c>
      <x:c r="S28" s="8" t="s">
        <x:v>317</x:v>
      </x:c>
      <x:c r="T28" s="8" t="inlineStr">
        <x:is>
          <x:t xml:space="preserve">Submission/assignment/reporting and real login remain original requirements planned for M4 finalisation; current evidence covers the agreed M3 read/status increment.</x:t>
        </x:is>
      </x:c>
      <x:c r="U28" s="8" t="inlineStr">
        <x:is>
          <x:t xml:space="preserve">Personal run: docs/evidence/m3/personal-20261013-181846/; IDs in I28. Combined main CI: https://github.com/Michael-Ellis819/Virtual_Group_K_SEN381_Project/actions/runs/38594557024 on 668795a; regression/database/M3/performance, analysis and dependency checks pass.</x:t>
        </x:is>
      </x:c>
      <x:c r="V28" s="8" t="s">
        <x:v>67</x:v>
      </x:c>
      <x:c r="W28" s="15" t="str">
        <x:v>IMPLEMENTED</x:v>
      </x:c>
      <x:c r="X28" s="15" t="str">
        <x:v>Met</x:v>
      </x:c>
      <x:c r="Y28" s="15" t="str">
        <x:v>Met</x:v>
      </x:c>
      <x:c r="Z28" s="17" t="n">
        <x:f>IF(X28="Met",1,IF(X28="Partially Met",0.5,IF(X28="Not Met",0,"Pending")))</x:f>
        <x:v>1</x:v>
      </x:c>
      <x:c r="AA28" s="17" t="n">
        <x:f>IF(Y28="Met",1,IF(Y28="Partially Met",0.5,IF(Y28="Not Met",0,"Pending")))</x:f>
        <x:v>1</x:v>
      </x:c>
      <x:c r="AB28" s="17" t="n">
        <x:f>IF(COUNT(Z28:AA28)=2,SUM(Z28:AA28),"Pending")</x:f>
        <x:v>2</x:v>
      </x:c>
      <x:c r="AC28" s="15" t="str">
        <x:v>Submission/access/assignment/status/reporting rules accept controlled test inputs; repeatable suites and negative controls exist. Evidence: docs/testing-m3.md; docs/evidence/m4-cameron-20261018/summary.md; PR20 where relevant.</x:v>
      </x:c>
      <x:c r="AD28" s="15" t="str">
        <x:v>Testability does not imply that the corresponding persistent product journeys are delivered.</x:v>
      </x:c>
      <x:c r="AE28" s="15" t="str">
        <x:v>Verified</x:v>
      </x:c>
    </x:row>
    <x:row r="31" ht="45" customHeight="1">
      <x:c r="A31" s="2" t="s">
        <x:v>318</x:v>
      </x:c>
      <x:c r="B31" s="11" t="s">
        <x:v>319</x:v>
      </x:c>
      <x:c r="C31" s="12"/>
      <x:c r="D31" s="12"/>
      <x:c r="E31" s="12"/>
      <x:c r="F31" s="12"/>
      <x:c r="G31" s="4"/>
      <x:c r="H31" s="4"/>
      <x:c r="I31" s="4"/>
      <x:c r="J31" s="4"/>
      <x:c r="K31" s="4"/>
      <x:c r="L31" s="4"/>
    </x:row>
    <x:row r="32" ht="45" customHeight="1">
      <x:c r="A32" s="2" t="s">
        <x:v>320</x:v>
      </x:c>
      <x:c r="B32" s="11" t="inlineStr">
        <x:is>
          <x:t xml:space="preserve">Original requirements/ACs retained. Published 668795a; PR17 approvals and main CI 38594557024 pass. Cameron confirmed team M3 read/status scope on 15 Oct 2026. CONDITIONALLY READY for controlled simulated staging; CR-M3-C03 and PED Section 14.</x:t>
        </x:is>
      </x:c>
      <x:c r="C32" s="12"/>
      <x:c r="D32" s="12"/>
      <x:c r="E32" s="12"/>
      <x:c r="F32" s="12"/>
      <x:c r="G32" s="4"/>
      <x:c r="H32" s="4"/>
      <x:c r="I32" s="4"/>
      <x:c r="J32" s="4"/>
      <x:c r="K32" s="4"/>
      <x:c r="L32" s="4"/>
    </x:row>
    <x:row r="33" ht="45" customHeight="1">
      <x:c r="A33" s="2" t="s">
        <x:v>321</x:v>
      </x:c>
      <x:c r="B33" s="11" t="inlineStr">
        <x:is>
          <x:t xml:space="preserve">Planned = no working implementation. In Development = partial evidence; full acceptance unverified. Team plans unfinished original features for M4 finalisation; no requirements removed. M3 conditional readiness applies only to the agreed increment and simulation.</x:t>
        </x:is>
      </x:c>
      <x:c r="C33" s="12"/>
      <x:c r="D33" s="12"/>
      <x:c r="E33" s="12"/>
      <x:c r="F33" s="12"/>
      <x:c r="G33" s="4"/>
      <x:c r="H33" s="4"/>
      <x:c r="I33" s="4"/>
      <x:c r="J33" s="4"/>
      <x:c r="K33" s="4"/>
      <x:c r="L33" s="4"/>
    </x:row>
    <x:row r="34" ht="45" customHeight="1">
      <x:c r="A34" s="2" t="s">
        <x:v>322</x:v>
      </x:c>
      <x:c r="B34" s="11" t="s">
        <x:v>323</x:v>
      </x:c>
      <x:c r="C34" s="12"/>
      <x:c r="D34" s="12"/>
      <x:c r="E34" s="12"/>
      <x:c r="F34" s="12"/>
      <x:c r="G34" s="4"/>
      <x:c r="H34" s="4"/>
      <x:c r="I34" s="4"/>
      <x:c r="J34" s="4"/>
      <x:c r="K34" s="4"/>
      <x:c r="L34" s="4"/>
    </x:row>
    <x:row r="35" ht="42.75">
      <x:c r="A35" t="s">
        <x:v>324</x:v>
      </x:c>
      <x:c r="B35" s="4" t="s">
        <x:v>325</x:v>
      </x:c>
      <x:c r="C35" s="4"/>
      <x:c r="D35" s="4"/>
      <x:c r="E35" s="4"/>
      <x:c r="F35" s="4"/>
      <x:c r="G35" s="4"/>
      <x:c r="H35" s="4"/>
      <x:c r="I35" s="4"/>
      <x:c r="J35" s="4"/>
      <x:c r="K35" s="4"/>
      <x:c r="L35" s="4"/>
    </x:row>
    <x:row r="36" ht="42.75">
      <x:c r="A36" t="s">
        <x:v>326</x:v>
      </x:c>
      <x:c r="B36" s="4" t="s">
        <x:v>327</x:v>
      </x:c>
      <x:c r="C36" s="4"/>
      <x:c r="D36" s="4"/>
      <x:c r="E36" s="4"/>
      <x:c r="F36" s="4"/>
      <x:c r="G36" s="4"/>
      <x:c r="H36" s="4"/>
      <x:c r="I36" s="4"/>
      <x:c r="J36" s="4"/>
      <x:c r="K36" s="4"/>
      <x:c r="L36" s="4"/>
    </x:row>
    <x:row r="37" ht="42.75">
      <x:c r="A37" t="s">
        <x:v>328</x:v>
      </x:c>
      <x:c r="B37" s="4" t="s">
        <x:v>329</x:v>
      </x:c>
      <x:c r="C37" s="4"/>
      <x:c r="D37" s="4"/>
      <x:c r="E37" s="4"/>
      <x:c r="F37" s="4"/>
      <x:c r="G37" s="4"/>
      <x:c r="H37" s="4"/>
      <x:c r="I37" s="4"/>
      <x:c r="J37" s="4"/>
      <x:c r="K37" s="4"/>
      <x:c r="L37" s="4"/>
    </x:row>
    <x:row r="38" ht="57">
      <x:c r="A38" t="s">
        <x:v>330</x:v>
      </x:c>
      <x:c r="B38" s="4" t="s">
        <x:v>331</x:v>
      </x:c>
      <x:c r="C38" s="4"/>
      <x:c r="D38" s="4"/>
      <x:c r="E38" s="4"/>
      <x:c r="F38" s="4"/>
      <x:c r="G38" s="4"/>
      <x:c r="H38" s="4"/>
      <x:c r="I38" s="4"/>
      <x:c r="J38" s="4"/>
      <x:c r="K38" s="4"/>
      <x:c r="L38" s="4"/>
    </x:row>
    <x:row r="40" ht="26.399999618530273" hidden="0" customHeight="1">
      <x:c r="W40" s="16" t="str">
        <x:v>M4 checkpoint, not frozen final acceptance</x:v>
      </x:c>
      <x:c r="X40" s="16"/>
    </x:row>
    <x:row r="41" ht="14.25" hidden="0" customHeight="1">
      <x:c r="W41" s="15" t="str">
        <x:v>Scope Completion Percentage</x:v>
      </x:c>
      <x:c r="X41" s="22" t="n">
        <x:f>IF(COUNT(Z2:AA28)=COUNTA(Requirements!D2:E28),SUM(Z2:AA28)/COUNTA(Requirements!D2:E28),"Pending")</x:f>
        <x:v>0.4722222222222222</x:v>
      </x:c>
    </x:row>
    <x:row r="42" ht="14.25" hidden="0" customHeight="1">
      <x:c r="W42" s="15" t="str">
        <x:v>M4 target</x:v>
      </x:c>
      <x:c r="X42" s="22" t="n">
        <x:v>0.8</x:v>
      </x:c>
    </x:row>
    <x:row r="43" ht="14.25" hidden="0" customHeight="1">
      <x:c r="W43" s="15" t="str">
        <x:v>Completion points</x:v>
      </x:c>
      <x:c r="X43" s="15" t="n">
        <x:f>SUM(Z2:AA28)</x:f>
        <x:v>25.5</x:v>
      </x:c>
    </x:row>
    <x:row r="44" ht="14.25" hidden="0" customHeight="1">
      <x:c r="W44" s="15" t="str">
        <x:v>Applicable approved AC count</x:v>
      </x:c>
      <x:c r="X44" s="15" t="n">
        <x:f>COUNTA(Requirements!D2:E28)</x:f>
        <x:v>54</x:v>
      </x:c>
    </x:row>
    <x:row r="45" ht="39.599998474121094" hidden="0" customHeight="1">
      <x:c r="W45" s="15" t="str">
        <x:v>Status</x:v>
      </x:c>
      <x:c r="X45" s="15" t="str">
        <x:v>Provisional; team adapters and final release still pending</x:v>
      </x:c>
    </x:row>
    <x:row r="46" ht="39.599998474121094" hidden="0" customHeight="1">
      <x:c r="W46" s="15" t="str">
        <x:v>Scoring</x:v>
      </x:c>
      <x:c r="X46" s="15" t="str">
        <x:v>Met 1; Partially Met 0.5; Not Met 0. No approved baseline removals.</x:v>
      </x:c>
    </x:row>
  </x:sheetData>
  <x:mergeCells>
    <x:mergeCell ref="B31:F31"/>
    <x:mergeCell ref="B32:F32"/>
    <x:mergeCell ref="B33:F33"/>
    <x:mergeCell ref="B34:F34"/>
  </x:mergeCells>
  <x:dataValidations count="2">
    <x:dataValidation type="list" sqref="L2:L28">
      <x:formula1>"Planned,In Development,Implemented,Verification Failed,Verified"</x:formula1>
    </x:dataValidation>
    <x:dataValidation type="list" sqref="X2:Y28">
      <x:formula1>"Met,Partially Met,Not Met"</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4.25"/>
  <x:cols>
    <x:col min="1" max="1" width="11.625" customWidth="1"/>
    <x:col min="2" max="2" width="48.875" customWidth="1"/>
    <x:col min="3" max="3" width="10" customWidth="1"/>
    <x:col min="4" max="5" width="52.25" customWidth="1"/>
  </x:cols>
  <x:sheetData>
    <x:row r="1" ht="33.95000076293945" customHeight="1">
      <x:c r="A1" s="9" t="s">
        <x:v>332</x:v>
      </x:c>
      <x:c r="B1" s="9" t="s">
        <x:v>1</x:v>
      </x:c>
      <x:c r="C1" s="9" t="s">
        <x:v>4</x:v>
      </x:c>
      <x:c r="D1" s="9" t="s">
        <x:v>333</x:v>
      </x:c>
      <x:c r="E1" s="9" t="s">
        <x:v>334</x:v>
      </x:c>
    </x:row>
    <x:row r="2" ht="42" customHeight="1">
      <x:c r="A2" s="1" t="s">
        <x:v>22</x:v>
      </x:c>
      <x:c r="B2" s="1" t="s">
        <x:v>335</x:v>
      </x:c>
      <x:c r="C2" s="1" t="s">
        <x:v>336</x:v>
      </x:c>
      <x:c r="D2" s="1" t="s">
        <x:v>337</x:v>
      </x:c>
      <x:c r="E2" s="1" t="s">
        <x:v>338</x:v>
      </x:c>
    </x:row>
    <x:row r="3" ht="42" customHeight="1">
      <x:c r="A3" s="10" t="s">
        <x:v>41</x:v>
      </x:c>
      <x:c r="B3" s="10" t="s">
        <x:v>339</x:v>
      </x:c>
      <x:c r="C3" s="10" t="s">
        <x:v>336</x:v>
      </x:c>
      <x:c r="D3" s="10" t="s">
        <x:v>340</x:v>
      </x:c>
      <x:c r="E3" s="10" t="s">
        <x:v>341</x:v>
      </x:c>
    </x:row>
    <x:row r="4" ht="42" customHeight="1">
      <x:c r="A4" s="1" t="s">
        <x:v>53</x:v>
      </x:c>
      <x:c r="B4" s="1" t="s">
        <x:v>342</x:v>
      </x:c>
      <x:c r="C4" s="1" t="s">
        <x:v>336</x:v>
      </x:c>
      <x:c r="D4" s="1" t="s">
        <x:v>343</x:v>
      </x:c>
      <x:c r="E4" s="1" t="s">
        <x:v>344</x:v>
      </x:c>
    </x:row>
    <x:row r="5" ht="42" customHeight="1">
      <x:c r="A5" s="10" t="s">
        <x:v>68</x:v>
      </x:c>
      <x:c r="B5" s="10" t="s">
        <x:v>345</x:v>
      </x:c>
      <x:c r="C5" s="10" t="s">
        <x:v>346</x:v>
      </x:c>
      <x:c r="D5" s="10" t="s">
        <x:v>347</x:v>
      </x:c>
      <x:c r="E5" s="10" t="s">
        <x:v>348</x:v>
      </x:c>
    </x:row>
    <x:row r="6" ht="42" customHeight="1">
      <x:c r="A6" s="1" t="s">
        <x:v>78</x:v>
      </x:c>
      <x:c r="B6" s="1" t="s">
        <x:v>349</x:v>
      </x:c>
      <x:c r="C6" s="1" t="s">
        <x:v>346</x:v>
      </x:c>
      <x:c r="D6" s="1" t="s">
        <x:v>350</x:v>
      </x:c>
      <x:c r="E6" s="1" t="s">
        <x:v>351</x:v>
      </x:c>
    </x:row>
    <x:row r="7" ht="42" customHeight="1">
      <x:c r="A7" s="10" t="s">
        <x:v>91</x:v>
      </x:c>
      <x:c r="B7" s="10" t="s">
        <x:v>352</x:v>
      </x:c>
      <x:c r="C7" s="10" t="s">
        <x:v>336</x:v>
      </x:c>
      <x:c r="D7" s="10" t="s">
        <x:v>353</x:v>
      </x:c>
      <x:c r="E7" s="10" t="s">
        <x:v>354</x:v>
      </x:c>
    </x:row>
    <x:row r="8" ht="42" customHeight="1">
      <x:c r="A8" s="1" t="s">
        <x:v>102</x:v>
      </x:c>
      <x:c r="B8" s="1" t="s">
        <x:v>355</x:v>
      </x:c>
      <x:c r="C8" s="1" t="s">
        <x:v>346</x:v>
      </x:c>
      <x:c r="D8" s="1" t="s">
        <x:v>356</x:v>
      </x:c>
      <x:c r="E8" s="1" t="s">
        <x:v>357</x:v>
      </x:c>
    </x:row>
    <x:row r="9" ht="42" customHeight="1">
      <x:c r="A9" s="10" t="s">
        <x:v>113</x:v>
      </x:c>
      <x:c r="B9" s="10" t="s">
        <x:v>358</x:v>
      </x:c>
      <x:c r="C9" s="10" t="s">
        <x:v>336</x:v>
      </x:c>
      <x:c r="D9" s="10" t="s">
        <x:v>359</x:v>
      </x:c>
      <x:c r="E9" s="10" t="s">
        <x:v>360</x:v>
      </x:c>
    </x:row>
    <x:row r="10" ht="42" customHeight="1">
      <x:c r="A10" s="1" t="s">
        <x:v>120</x:v>
      </x:c>
      <x:c r="B10" s="1" t="s">
        <x:v>361</x:v>
      </x:c>
      <x:c r="C10" s="1" t="s">
        <x:v>336</x:v>
      </x:c>
      <x:c r="D10" s="1" t="s">
        <x:v>362</x:v>
      </x:c>
      <x:c r="E10" s="1" t="s">
        <x:v>363</x:v>
      </x:c>
    </x:row>
    <x:row r="11" ht="42" customHeight="1">
      <x:c r="A11" s="10" t="s">
        <x:v>130</x:v>
      </x:c>
      <x:c r="B11" s="10" t="s">
        <x:v>364</x:v>
      </x:c>
      <x:c r="C11" s="10" t="s">
        <x:v>336</x:v>
      </x:c>
      <x:c r="D11" s="10" t="s">
        <x:v>365</x:v>
      </x:c>
      <x:c r="E11" s="10" t="s">
        <x:v>366</x:v>
      </x:c>
    </x:row>
    <x:row r="12" ht="42" customHeight="1">
      <x:c r="A12" s="1" t="s">
        <x:v>139</x:v>
      </x:c>
      <x:c r="B12" s="1" t="s">
        <x:v>367</x:v>
      </x:c>
      <x:c r="C12" s="1" t="s">
        <x:v>336</x:v>
      </x:c>
      <x:c r="D12" s="1" t="s">
        <x:v>368</x:v>
      </x:c>
      <x:c r="E12" s="1" t="s">
        <x:v>369</x:v>
      </x:c>
    </x:row>
    <x:row r="13" ht="42" customHeight="1">
      <x:c r="A13" s="10" t="s">
        <x:v>149</x:v>
      </x:c>
      <x:c r="B13" s="10" t="s">
        <x:v>370</x:v>
      </x:c>
      <x:c r="C13" s="10" t="s">
        <x:v>336</x:v>
      </x:c>
      <x:c r="D13" s="10" t="s">
        <x:v>371</x:v>
      </x:c>
      <x:c r="E13" s="10" t="s">
        <x:v>372</x:v>
      </x:c>
    </x:row>
    <x:row r="14" ht="42" customHeight="1">
      <x:c r="A14" s="1" t="s">
        <x:v>157</x:v>
      </x:c>
      <x:c r="B14" s="1" t="s">
        <x:v>373</x:v>
      </x:c>
      <x:c r="C14" s="1" t="s">
        <x:v>346</x:v>
      </x:c>
      <x:c r="D14" s="1" t="s">
        <x:v>374</x:v>
      </x:c>
      <x:c r="E14" s="1" t="s">
        <x:v>375</x:v>
      </x:c>
    </x:row>
    <x:row r="15" ht="42" customHeight="1">
      <x:c r="A15" s="10" t="s">
        <x:v>167</x:v>
      </x:c>
      <x:c r="B15" s="10" t="s">
        <x:v>376</x:v>
      </x:c>
      <x:c r="C15" s="10" t="s">
        <x:v>346</x:v>
      </x:c>
      <x:c r="D15" s="10" t="s">
        <x:v>377</x:v>
      </x:c>
      <x:c r="E15" s="10" t="s">
        <x:v>378</x:v>
      </x:c>
    </x:row>
    <x:row r="16" ht="42" customHeight="1">
      <x:c r="A16" s="1" t="s">
        <x:v>176</x:v>
      </x:c>
      <x:c r="B16" s="1" t="s">
        <x:v>379</x:v>
      </x:c>
      <x:c r="C16" s="1" t="s">
        <x:v>336</x:v>
      </x:c>
      <x:c r="D16" s="1" t="s">
        <x:v>380</x:v>
      </x:c>
      <x:c r="E16" s="1" t="s">
        <x:v>381</x:v>
      </x:c>
    </x:row>
    <x:row r="17" ht="42" customHeight="1">
      <x:c r="A17" s="10" t="s">
        <x:v>186</x:v>
      </x:c>
      <x:c r="B17" s="10" t="s">
        <x:v>382</x:v>
      </x:c>
      <x:c r="C17" s="10" t="s">
        <x:v>336</x:v>
      </x:c>
      <x:c r="D17" s="10" t="s">
        <x:v>383</x:v>
      </x:c>
      <x:c r="E17" s="10" t="s">
        <x:v>384</x:v>
      </x:c>
    </x:row>
    <x:row r="18" ht="42" customHeight="1">
      <x:c r="A18" s="1" t="s">
        <x:v>197</x:v>
      </x:c>
      <x:c r="B18" s="1" t="s">
        <x:v>385</x:v>
      </x:c>
      <x:c r="C18" s="1" t="s">
        <x:v>346</x:v>
      </x:c>
      <x:c r="D18" s="1" t="s">
        <x:v>386</x:v>
      </x:c>
      <x:c r="E18" s="1" t="s">
        <x:v>387</x:v>
      </x:c>
    </x:row>
    <x:row r="19" ht="42" customHeight="1">
      <x:c r="A19" s="10" t="s">
        <x:v>207</x:v>
      </x:c>
      <x:c r="B19" s="10" t="s">
        <x:v>388</x:v>
      </x:c>
      <x:c r="C19" s="10" t="s">
        <x:v>346</x:v>
      </x:c>
      <x:c r="D19" s="10" t="s">
        <x:v>389</x:v>
      </x:c>
      <x:c r="E19" s="10" t="s">
        <x:v>390</x:v>
      </x:c>
    </x:row>
    <x:row r="20" ht="42" customHeight="1">
      <x:c r="A20" s="1" t="s">
        <x:v>216</x:v>
      </x:c>
      <x:c r="B20" s="1" t="s">
        <x:v>391</x:v>
      </x:c>
      <x:c r="C20" s="1" t="s">
        <x:v>336</x:v>
      </x:c>
      <x:c r="D20" s="1" t="s">
        <x:v>392</x:v>
      </x:c>
      <x:c r="E20" s="1" t="s">
        <x:v>393</x:v>
      </x:c>
    </x:row>
    <x:row r="21" ht="57" customHeight="1">
      <x:c r="A21" s="10" t="s">
        <x:v>226</x:v>
      </x:c>
      <x:c r="B21" s="10" t="s">
        <x:v>394</x:v>
      </x:c>
      <x:c r="C21" s="10" t="s">
        <x:v>346</x:v>
      </x:c>
      <x:c r="D21" s="10" t="s">
        <x:v>395</x:v>
      </x:c>
      <x:c r="E21" s="10" t="s">
        <x:v>396</x:v>
      </x:c>
    </x:row>
    <x:row r="22" ht="42" customHeight="1">
      <x:c r="A22" s="1" t="s">
        <x:v>240</x:v>
      </x:c>
      <x:c r="B22" s="1" t="s">
        <x:v>397</x:v>
      </x:c>
      <x:c r="C22" s="1" t="s">
        <x:v>336</x:v>
      </x:c>
      <x:c r="D22" s="1" t="s">
        <x:v>398</x:v>
      </x:c>
      <x:c r="E22" s="1" t="s">
        <x:v>399</x:v>
      </x:c>
    </x:row>
    <x:row r="23" ht="42" customHeight="1">
      <x:c r="A23" s="10" t="s">
        <x:v>249</x:v>
      </x:c>
      <x:c r="B23" s="10" t="s">
        <x:v>400</x:v>
      </x:c>
      <x:c r="C23" s="10" t="s">
        <x:v>346</x:v>
      </x:c>
      <x:c r="D23" s="10" t="s">
        <x:v>401</x:v>
      </x:c>
      <x:c r="E23" s="10" t="s">
        <x:v>402</x:v>
      </x:c>
    </x:row>
    <x:row r="24" ht="42" customHeight="1">
      <x:c r="A24" s="1" t="s">
        <x:v>261</x:v>
      </x:c>
      <x:c r="B24" s="1" t="s">
        <x:v>403</x:v>
      </x:c>
      <x:c r="C24" s="1" t="s">
        <x:v>346</x:v>
      </x:c>
      <x:c r="D24" s="1" t="s">
        <x:v>404</x:v>
      </x:c>
      <x:c r="E24" s="1" t="s">
        <x:v>405</x:v>
      </x:c>
    </x:row>
    <x:row r="25" ht="42" customHeight="1">
      <x:c r="A25" s="10" t="s">
        <x:v>270</x:v>
      </x:c>
      <x:c r="B25" s="10" t="s">
        <x:v>406</x:v>
      </x:c>
      <x:c r="C25" s="10" t="s">
        <x:v>336</x:v>
      </x:c>
      <x:c r="D25" s="10" t="s">
        <x:v>407</x:v>
      </x:c>
      <x:c r="E25" s="10" t="s">
        <x:v>408</x:v>
      </x:c>
    </x:row>
    <x:row r="26" ht="42" customHeight="1">
      <x:c r="A26" s="1" t="s">
        <x:v>283</x:v>
      </x:c>
      <x:c r="B26" s="1" t="s">
        <x:v>409</x:v>
      </x:c>
      <x:c r="C26" s="1" t="s">
        <x:v>346</x:v>
      </x:c>
      <x:c r="D26" s="1" t="s">
        <x:v>410</x:v>
      </x:c>
      <x:c r="E26" s="1" t="s">
        <x:v>411</x:v>
      </x:c>
    </x:row>
    <x:row r="27" ht="42" customHeight="1">
      <x:c r="A27" s="10" t="s">
        <x:v>294</x:v>
      </x:c>
      <x:c r="B27" s="10" t="s">
        <x:v>412</x:v>
      </x:c>
      <x:c r="C27" s="10" t="s">
        <x:v>336</x:v>
      </x:c>
      <x:c r="D27" s="10" t="s">
        <x:v>413</x:v>
      </x:c>
      <x:c r="E27" s="10" t="s">
        <x:v>414</x:v>
      </x:c>
    </x:row>
    <x:row r="28" ht="42" customHeight="1">
      <x:c r="A28" s="1" t="s">
        <x:v>307</x:v>
      </x:c>
      <x:c r="B28" s="1" t="s">
        <x:v>415</x:v>
      </x:c>
      <x:c r="C28" s="1" t="s">
        <x:v>336</x:v>
      </x:c>
      <x:c r="D28" s="1" t="s">
        <x:v>416</x:v>
      </x:c>
      <x:c r="E28" s="1" t="s">
        <x:v>417</x:v>
      </x:c>
    </x:row>
    <x:row r="31" ht="57.95000076293945" customHeight="1">
      <x:c r="A31" s="2" t="s">
        <x:v>418</x:v>
      </x:c>
      <x:c r="B31" s="11" t="s">
        <x:v>419</x:v>
      </x:c>
      <x:c r="C31" s="11"/>
      <x:c r="D31" s="11"/>
      <x:c r="E31" s="11"/>
    </x:row>
    <x:row r="32" ht="57.95000076293945" customHeight="1">
      <x:c r="A32" s="2" t="s">
        <x:v>420</x:v>
      </x:c>
      <x:c r="B32" s="11" t="s">
        <x:v>421</x:v>
      </x:c>
      <x:c r="C32" s="11"/>
      <x:c r="D32" s="11"/>
      <x:c r="E32" s="11"/>
    </x:row>
    <x:row r="33" ht="57.95000076293945" customHeight="1">
      <x:c r="A33" s="2" t="s">
        <x:v>422</x:v>
      </x:c>
      <x:c r="B33" s="11" t="s">
        <x:v>423</x:v>
      </x:c>
      <x:c r="C33" s="11"/>
      <x:c r="D33" s="11"/>
      <x:c r="E33" s="11"/>
    </x:row>
    <x:row r="34" ht="57.95000076293945" customHeight="1">
      <x:c r="A34" s="2" t="s">
        <x:v>424</x:v>
      </x:c>
      <x:c r="B34" s="11" t="s">
        <x:v>425</x:v>
      </x:c>
      <x:c r="C34" s="11"/>
      <x:c r="D34" s="11"/>
      <x:c r="E34" s="11"/>
    </x:row>
    <x:row r="35" ht="57.95000076293945" customHeight="1">
      <x:c r="A35" s="2" t="s">
        <x:v>426</x:v>
      </x:c>
      <x:c r="B35" s="11" t="s">
        <x:v>427</x:v>
      </x:c>
      <x:c r="C35" s="11"/>
      <x:c r="D35" s="11"/>
      <x:c r="E35" s="11"/>
    </x:row>
    <x:row r="36" ht="57.95000076293945" customHeight="1">
      <x:c r="A36" s="2" t="s">
        <x:v>428</x:v>
      </x:c>
      <x:c r="B36" s="11" t="s">
        <x:v>429</x:v>
      </x:c>
      <x:c r="C36" s="11"/>
      <x:c r="D36" s="11"/>
      <x:c r="E36" s="11"/>
    </x:row>
    <x:row r="37" ht="57.95000076293945" customHeight="1">
      <x:c r="A37" s="2" t="s">
        <x:v>430</x:v>
      </x:c>
      <x:c r="B37" s="11" t="s">
        <x:v>431</x:v>
      </x:c>
      <x:c r="C37" s="11"/>
      <x:c r="D37" s="11"/>
      <x:c r="E37" s="11"/>
    </x:row>
  </x:sheetData>
  <x:mergeCells>
    <x:mergeCell ref="B36:E36"/>
    <x:mergeCell ref="B37:E37"/>
    <x:mergeCell ref="B31:E31"/>
    <x:mergeCell ref="B32:E32"/>
    <x:mergeCell ref="B33:E33"/>
    <x:mergeCell ref="B34:E34"/>
    <x:mergeCell ref="B35:E35"/>
  </x:mergeCells>
  <x:dataValidations count="1">
    <x:dataValidation type="list" sqref="C2:C28">
      <x:formula1>"High,Medium,Low"</x:formula1>
    </x:dataValidation>
  </x:dataValidations>
  <x:pageMargins left="0.7" right="0.7" top="0.75" bottom="0.75" header="0.3" footer="0.3"/>
</x:worksheet>
</file>