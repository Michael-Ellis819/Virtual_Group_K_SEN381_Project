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autoCompressPictures="0"/>
  <mc:AlternateContent xmlns:mc="http://schemas.openxmlformats.org/markup-compatibility/2006">
    <mc:Choice Requires="x15">
      <x15ac:absPath xmlns:x15ac="http://schemas.microsoft.com/office/spreadsheetml/2010/11/ac" url="D:\uni\year 3\SEN\Milestone 3\To be sub\"/>
    </mc:Choice>
  </mc:AlternateContent>
  <xr:revisionPtr revIDLastSave="0" documentId="8_{6D0BAA35-3E44-4E53-AAE5-796FE33F0C57}" xr6:coauthVersionLast="47" xr6:coauthVersionMax="47" xr10:uidLastSave="{00000000-0000-0000-0000-000000000000}"/>
  <bookViews>
    <workbookView xWindow="8595" yWindow="1605" windowWidth="29730" windowHeight="19080" xr2:uid="{00000000-000D-0000-FFFF-FFFF00000000}"/>
  </bookViews>
  <sheets>
    <sheet name="RTM" sheetId="1" r:id="rId1"/>
    <sheet name="Requirement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8" i="1" l="1"/>
  <c r="E28" i="1"/>
  <c r="R27" i="1"/>
  <c r="E27" i="1"/>
  <c r="R26" i="1"/>
  <c r="E26" i="1"/>
  <c r="R25" i="1"/>
  <c r="E25" i="1"/>
  <c r="R24" i="1"/>
  <c r="E24" i="1"/>
  <c r="R23" i="1"/>
  <c r="E23" i="1"/>
  <c r="R22" i="1"/>
  <c r="E22" i="1"/>
  <c r="R21" i="1"/>
  <c r="E21" i="1"/>
  <c r="R20" i="1"/>
  <c r="E20" i="1"/>
  <c r="R19" i="1"/>
  <c r="E19" i="1"/>
  <c r="R18" i="1"/>
  <c r="E18" i="1"/>
  <c r="R17" i="1"/>
  <c r="E17" i="1"/>
  <c r="R16" i="1"/>
  <c r="E16" i="1"/>
  <c r="R15" i="1"/>
  <c r="E15" i="1"/>
  <c r="R14" i="1"/>
  <c r="E14" i="1"/>
  <c r="R13" i="1"/>
  <c r="E13" i="1"/>
  <c r="R12" i="1"/>
  <c r="E12" i="1"/>
  <c r="R11" i="1"/>
  <c r="E11" i="1"/>
  <c r="R10" i="1"/>
  <c r="E10" i="1"/>
  <c r="R9" i="1"/>
  <c r="E9" i="1"/>
  <c r="R8" i="1"/>
  <c r="E8" i="1"/>
  <c r="R7" i="1"/>
  <c r="E7" i="1"/>
  <c r="R6" i="1"/>
  <c r="E6" i="1"/>
  <c r="R5" i="1"/>
  <c r="E5" i="1"/>
  <c r="R4" i="1"/>
  <c r="E4" i="1"/>
  <c r="R3" i="1"/>
  <c r="E3" i="1"/>
  <c r="R2" i="1"/>
  <c r="E2" i="1"/>
</calcChain>
</file>

<file path=xl/sharedStrings.xml><?xml version="1.0" encoding="utf-8"?>
<sst xmlns="http://schemas.openxmlformats.org/spreadsheetml/2006/main" count="732" uniqueCount="457">
  <si>
    <t>Requirement ID</t>
  </si>
  <si>
    <t>Requirement</t>
  </si>
  <si>
    <t>Stakeholder and source</t>
  </si>
  <si>
    <t>Scope reference</t>
  </si>
  <si>
    <t>Priority</t>
  </si>
  <si>
    <t>Acceptance IDs</t>
  </si>
  <si>
    <t>Design reference</t>
  </si>
  <si>
    <t>Issue / PR / code</t>
  </si>
  <si>
    <t>Test evidence</t>
  </si>
  <si>
    <t>Change reference</t>
  </si>
  <si>
    <t>Release evidence</t>
  </si>
  <si>
    <t>Implementation status</t>
  </si>
  <si>
    <t>ASR / quality driver</t>
  </si>
  <si>
    <t>Architecture / module</t>
  </si>
  <si>
    <t>Data / persistence impact</t>
  </si>
  <si>
    <t>Technology decision</t>
  </si>
  <si>
    <t>ADR / risk reference</t>
  </si>
  <si>
    <t>Current requirement wording</t>
  </si>
  <si>
    <t>Expected / observed result</t>
  </si>
  <si>
    <t>Defect or remaining acceptance gap</t>
  </si>
  <si>
    <t>M3 execution evidence</t>
  </si>
  <si>
    <t>Evidence date / executor</t>
  </si>
  <si>
    <t>FR-001</t>
  </si>
  <si>
    <t>Submit a service request</t>
  </si>
  <si>
    <t>Requester; PED §1.2, §2.1.1; MB §3 Requester</t>
  </si>
  <si>
    <t>SR-IN-01</t>
  </si>
  <si>
    <t>AC-FR-001-1; AC-FR-001-2</t>
  </si>
  <si>
    <t>ADR-M2-03; ADR-M2-04; ADR-M2-06; docs/decisions/README.md</t>
  </si>
  <si>
    <t>Planned. Design source PR #10 (architecture) / #11 (data/technology); no application implementation for this row.</t>
  </si>
  <si>
    <t>Creation and input validation not implemented</t>
  </si>
  <si>
    <t>M2 consolidation 2026-09-30; requirement/AC unchanged; M3 2026-10-13: evidence evolved; requirement/AC unchanged; CR-M3-C01.</t>
  </si>
  <si>
    <t>Planned</t>
  </si>
  <si>
    <t>Integrity; pilot performance</t>
  </si>
  <si>
    <t>Submission service (planned)</t>
  </si>
  <si>
    <t>ServiceRequest, Category, RequestHistory; atomic creation and idempotency</t>
  </si>
  <si>
    <t>ADR-M2-04: ASP.NET Core MVC/Razor; EF Core/Npgsql 8.0.11; PostgreSQL adapters/migrations implemented by Michael (PR14).</t>
  </si>
  <si>
    <t>R-015; R-036</t>
  </si>
  <si>
    <t>Not executed for complete acceptance.</t>
  </si>
  <si>
    <t>Request creation and input-validation endpoint absent.</t>
  </si>
  <si>
    <t>No complete M3 execution evidence; see docs/release-evidence.md.</t>
  </si>
  <si>
    <t>2026-10-13 evidence review.</t>
  </si>
  <si>
    <t>FR-002</t>
  </si>
  <si>
    <t>Controlled request categories</t>
  </si>
  <si>
    <t>Requester; Staff; PED §2.1.1, A-02; MB §3 Requester</t>
  </si>
  <si>
    <t>SR-IN-02</t>
  </si>
  <si>
    <t>AC-FR-002-1; AC-FR-002-2</t>
  </si>
  <si>
    <t>ADR-M2-03; ADR-M2-04; docs/decisions/README.md</t>
  </si>
  <si>
    <t>Controlled catalogue and persistent keys not implemented</t>
  </si>
  <si>
    <t>Integrity</t>
  </si>
  <si>
    <t>Category catalogue (planned)</t>
  </si>
  <si>
    <t>Category FK; retain referenced category</t>
  </si>
  <si>
    <t>R-019</t>
  </si>
  <si>
    <t>Controlled category catalogue/enforced category key absent.</t>
  </si>
  <si>
    <t>FR-003</t>
  </si>
  <si>
    <t>View own request status</t>
  </si>
  <si>
    <t>SR-IN-03</t>
  </si>
  <si>
    <t>AC-FR-003-1; AC-FR-003-2</t>
  </si>
  <si>
    <t>ADR-M2-01; ADR-M2-03; ADR-M2-04; ADR-M2-05; ADR-M2-06; docs/decisions/README.md</t>
  </si>
  <si>
    <t>E01/E02/A04; S01/S03/H04/H05/H07; passed 2026-10-13 where mapped; docs/testing-m3.md.</t>
  </si>
  <si>
    <t>In Development</t>
  </si>
  <si>
    <t>Access isolation</t>
  </si>
  <si>
    <t>RequestsController; RequestQueryService</t>
  </si>
  <si>
    <t>Michael EF Core/PostgreSQL reader and persisted synthetic requests/notes; authorised application projection.</t>
  </si>
  <si>
    <t>R-013; R-017</t>
  </si>
  <si>
    <t>Owner reads saved Closed status/time and permitted notes; foreign record returns 404.</t>
  </si>
  <si>
    <t>Full live account/UI acceptance pending. See docs/defects.md and technical-debt.md.</t>
  </si>
  <si>
    <t>docs/testing-m3.md; docs/evidence/m3/personal-20261013-181846/ (integration.txt, regression.txt, database.txt; mapped IDs in column I).</t>
  </si>
  <si>
    <t>2026-10-13 18:18-18:19 SAST; Cameron Purdon 601963; f774bf8.</t>
  </si>
  <si>
    <t>FR-004</t>
  </si>
  <si>
    <t>View own request history</t>
  </si>
  <si>
    <t>SR-IN-04</t>
  </si>
  <si>
    <t>AC-FR-004-1; AC-FR-004-2</t>
  </si>
  <si>
    <t>ADR-M2-03; ADR-M2-04; ADR-M2-05; ADR-M2-06; docs/decisions/README.md</t>
  </si>
  <si>
    <t>List/history query not implemented</t>
  </si>
  <si>
    <t>Requester history query (planned)</t>
  </si>
  <si>
    <t>Requester-scoped ServiceRequest collection</t>
  </si>
  <si>
    <t>R-013</t>
  </si>
  <si>
    <t>Own request history/list workflow absent.</t>
  </si>
  <si>
    <t>FR-005</t>
  </si>
  <si>
    <t>Requester feedback</t>
  </si>
  <si>
    <t>Requester; PED §2.1.1; §5.2 concern 5; MB §3 Requester</t>
  </si>
  <si>
    <t>SR-IN-05</t>
  </si>
  <si>
    <t>AC-FR-005-1; AC-FR-005-2</t>
  </si>
  <si>
    <t>ADR-M2-02; ADR-M2-03; ADR-M2-04; ADR-M2-06; docs/decisions/README.md</t>
  </si>
  <si>
    <t>E01/E02; passed 2026-10-13 where mapped; docs/testing-m3.md.</t>
  </si>
  <si>
    <t>Integrity; access isolation</t>
  </si>
  <si>
    <t>PostgreSQL status/history/public-note transaction and optimistic version; broader schema/acceptance gaps remain.</t>
  </si>
  <si>
    <t>R-027; R-028</t>
  </si>
  <si>
    <t>Status changes create persistent public feedback; rejection has a reason.</t>
  </si>
  <si>
    <t>Event/date presentation and full feedback scope pending. See docs/defects.md and technical-debt.md.</t>
  </si>
  <si>
    <t>FR-006</t>
  </si>
  <si>
    <t>Authorised staff request list</t>
  </si>
  <si>
    <t>Staff; PED §1.2, §2.1.1, §2.2.3; MB §3 Staff</t>
  </si>
  <si>
    <t>SR-IN-06</t>
  </si>
  <si>
    <t>AC-FR-006-1; AC-FR-006-2</t>
  </si>
  <si>
    <t>S05/H09/BB05; passed 2026-10-13 where mapped; docs/testing-m3.md.</t>
  </si>
  <si>
    <t>Staff list query (planned)</t>
  </si>
  <si>
    <t>Category permission filter before counts/pagination</t>
  </si>
  <si>
    <t>R-013; R-032</t>
  </si>
  <si>
    <t>Outside-category detail/mutation denied.</t>
  </si>
  <si>
    <t>Authorised staff list absent. See docs/defects.md and technical-debt.md.</t>
  </si>
  <si>
    <t>FR-007</t>
  </si>
  <si>
    <t>Search, filter and sort</t>
  </si>
  <si>
    <t>Staff; PED §2.1.1; MB §3 Staff</t>
  </si>
  <si>
    <t>SR-IN-07</t>
  </si>
  <si>
    <t>AC-FR-007-1; AC-FR-007-2</t>
  </si>
  <si>
    <t>No search, sorting or load evidence</t>
  </si>
  <si>
    <t>Pilot performance; access isolation</t>
  </si>
  <si>
    <t>Search/filter query (planned)</t>
  </si>
  <si>
    <t>Permission-constrained sort/filter/index strategy</t>
  </si>
  <si>
    <t>R-016; R-022</t>
  </si>
  <si>
    <t>Search/filter/sort workflow absent.</t>
  </si>
  <si>
    <t>FR-008</t>
  </si>
  <si>
    <t>Full request details</t>
  </si>
  <si>
    <t>SR-IN-08</t>
  </si>
  <si>
    <t>AC-FR-008-1; AC-FR-008-2</t>
  </si>
  <si>
    <t>S04/S05/H08/H09; database checks; passed 2026-10-13 where mapped; docs/testing-m3.md.</t>
  </si>
  <si>
    <t>Permitted staff sees internal notes; wrong category denied.</t>
  </si>
  <si>
    <t>Full details omit owner/priority/due-date/requester; AC1 incomplete. See docs/defects.md and technical-debt.md.</t>
  </si>
  <si>
    <t>FR-009</t>
  </si>
  <si>
    <t>Assign or accept ownership</t>
  </si>
  <si>
    <t>SR-IN-09</t>
  </si>
  <si>
    <t>AC-FR-009-1; AC-FR-009-2</t>
  </si>
  <si>
    <t>ADR-M2-02; ADR-M2-03; ADR-M2-04; ADR-M2-05; ADR-M2-06; docs/decisions/README.md</t>
  </si>
  <si>
    <t>Database concurrency mechanism and simultaneous-claim test pending</t>
  </si>
  <si>
    <t>Assignment service (planned)</t>
  </si>
  <si>
    <t>Conditional atomic owner update plus RequestHistory</t>
  </si>
  <si>
    <t>R-015</t>
  </si>
  <si>
    <t>Eligible owner assignment/concurrent claiming absent; Assigned status is not owner assignment.</t>
  </si>
  <si>
    <t>FR-010</t>
  </si>
  <si>
    <t>Controlled status transitions</t>
  </si>
  <si>
    <t>SR-IN-10</t>
  </si>
  <si>
    <t>AC-FR-010-1; AC-FR-010-2</t>
  </si>
  <si>
    <t>C01-C06; BB05; A03/A05/A06; E01/E02; passed 2026-10-13 where mapped; docs/testing-m3.md.</t>
  </si>
  <si>
    <t>Integrity; testability</t>
  </si>
  <si>
    <t>Legal lifecycle saved with actor/time/history; invalid/unauthorised/stale changes rejected.</t>
  </si>
  <si>
    <t>Peer review/live identity and simultaneous HTTP/audit check pending. See docs/defects.md and technical-debt.md.</t>
  </si>
  <si>
    <t>FR-011</t>
  </si>
  <si>
    <t>Record actions and notes</t>
  </si>
  <si>
    <t>SR-IN-11</t>
  </si>
  <si>
    <t>AC-FR-011-1; AC-FR-011-2</t>
  </si>
  <si>
    <t>S02/H05; BB03/BB04; E01/E02; passed 2026-10-13 where mapped; docs/testing-m3.md.</t>
  </si>
  <si>
    <t>Access isolation; integrity</t>
  </si>
  <si>
    <t>R-017</t>
  </si>
  <si>
    <t>Internal notes excluded from owner response; invalid feedback produces no writes.</t>
  </si>
  <si>
    <t>General note author/time/correction workflow absent. See docs/defects.md and technical-debt.md.</t>
  </si>
  <si>
    <t>FR-012</t>
  </si>
  <si>
    <t>Resolve and close requests</t>
  </si>
  <si>
    <t>SR-IN-12</t>
  </si>
  <si>
    <t>AC-FR-012-1; AC-FR-012-2</t>
  </si>
  <si>
    <t>E01/E02; C01/C02; passed 2026-10-13 where mapped; docs/testing-m3.md.</t>
  </si>
  <si>
    <t>Staff resolves with summary then closes; terminal reopen denied.</t>
  </si>
  <si>
    <t>Broader live account/permission acceptance pending. See docs/defects.md and technical-debt.md.</t>
  </si>
  <si>
    <t>FR-013</t>
  </si>
  <si>
    <t>Service activity summary</t>
  </si>
  <si>
    <t>Management; PED §1.2, §2.1.1; MB §3 Management</t>
  </si>
  <si>
    <t>SR-IN-13</t>
  </si>
  <si>
    <t>AC-FR-013-1; AC-FR-013-2</t>
  </si>
  <si>
    <t>No report implementation</t>
  </si>
  <si>
    <t>Management reporting (planned)</t>
  </si>
  <si>
    <t>Aggregate status/open/overdue queries</t>
  </si>
  <si>
    <t>R-014; R-016</t>
  </si>
  <si>
    <t>Management service counts absent.</t>
  </si>
  <si>
    <t>FR-014</t>
  </si>
  <si>
    <t>Management category/status analysis</t>
  </si>
  <si>
    <t>Management; PED §2.1.1; MB §3 Management</t>
  </si>
  <si>
    <t>SR-IN-14</t>
  </si>
  <si>
    <t>AC-FR-014-1; AC-FR-014-2</t>
  </si>
  <si>
    <t>No grouping report implementation</t>
  </si>
  <si>
    <t>Management category/status report (planned)</t>
  </si>
  <si>
    <t>Aggregate Category/ServiceRequest grouping</t>
  </si>
  <si>
    <t>Management category/status analysis absent.</t>
  </si>
  <si>
    <t>FR-015</t>
  </si>
  <si>
    <t>Accountability and performance history</t>
  </si>
  <si>
    <t>Management; Staff; PED §1.2, §2.1.1; MB §3 Management</t>
  </si>
  <si>
    <t>SR-IN-15; SR-IN-11</t>
  </si>
  <si>
    <t>AC-FR-015-1; AC-FR-015-2</t>
  </si>
  <si>
    <t>E01; database checks; passed 2026-10-13 where mapped; docs/testing-m3.md.</t>
  </si>
  <si>
    <t>Accountability reporting (planned)</t>
  </si>
  <si>
    <t>R-014</t>
  </si>
  <si>
    <t>Four status audit edges with correct actor/time/version; history saved in PostgreSQL.</t>
  </si>
  <si>
    <t>Creation/ownership/priority/due-date/note history and restart/immutability checks pending. See docs/defects.md and technical-debt.md.</t>
  </si>
  <si>
    <t>FR-016</t>
  </si>
  <si>
    <t>Authenticated role access</t>
  </si>
  <si>
    <t>Requester; Staff; Management; PED §2.2.3; §5.2 concern 1; MB §16</t>
  </si>
  <si>
    <t>Cross-cutting: SR-IN-03, 06, 08, 12-15</t>
  </si>
  <si>
    <t>AC-FR-016-1; AC-FR-016-2</t>
  </si>
  <si>
    <t>A02/BB05; S07-S12/H02/H03; passed 2026-10-13 where mapped; docs/testing-m3.md.</t>
  </si>
  <si>
    <t>Framework cookie gate and RequestAccessPolicy</t>
  </si>
  <si>
    <t>Trusted principal claims; user store/provisioning planned</t>
  </si>
  <si>
    <t>R-013; R-031; R-032</t>
  </si>
  <si>
    <t>Signed-out calls return 401; ambiguous/inactive identities denied.</t>
  </si>
  <si>
    <t>Actual credential login/provisioning and permission freshness absent. See docs/defects.md and technical-debt.md.</t>
  </si>
  <si>
    <t>FR-017</t>
  </si>
  <si>
    <t>Request priority</t>
  </si>
  <si>
    <t>Staff; PED §2.1.1; MB §2 prioritisation need</t>
  </si>
  <si>
    <t>SR-IN-07; SR-IN-15</t>
  </si>
  <si>
    <t>AC-FR-017-1; AC-FR-017-2</t>
  </si>
  <si>
    <t>No priority mutation implementation</t>
  </si>
  <si>
    <t>Priority update service (planned)</t>
  </si>
  <si>
    <t>Controlled Low/Normal/High; default Normal</t>
  </si>
  <si>
    <t>R-036</t>
  </si>
  <si>
    <t>Controlled priority/default/update absent.</t>
  </si>
  <si>
    <t>FR-018</t>
  </si>
  <si>
    <t>Due dates and overdue identification</t>
  </si>
  <si>
    <t>Staff; Management; PED §2.1.1; MB §3 Management</t>
  </si>
  <si>
    <t>SR-IN-13; SR-IN-15</t>
  </si>
  <si>
    <t>AC-FR-018-1; AC-FR-018-2</t>
  </si>
  <si>
    <t>No due-date/overdue implementation</t>
  </si>
  <si>
    <t>Due-date service and overdue query (planned)</t>
  </si>
  <si>
    <t>Open states plus DueDate &lt; now; null not overdue</t>
  </si>
  <si>
    <t>Due-date/overdue calculation absent.</t>
  </si>
  <si>
    <t>NFR-001</t>
  </si>
  <si>
    <t>Access-control isolation</t>
  </si>
  <si>
    <t>Requester; Staff; Management; PED §2.2.2 Security; R-004; MB §16</t>
  </si>
  <si>
    <t>Cross-cutting: all protected scope</t>
  </si>
  <si>
    <t>AC-NFR-001-1; AC-NFR-001-2</t>
  </si>
  <si>
    <t>C03/BB05/A04/A06/E01/E02; S02-S12; passed 2026-10-13 where mapped; docs/testing-m3.md.</t>
  </si>
  <si>
    <t>RequestAccessPolicy and DTO projection</t>
  </si>
  <si>
    <t>R-013; R-017; R-032</t>
  </si>
  <si>
    <t>No unauthorised disclosure/change in selected role/record cases.</t>
  </si>
  <si>
    <t>Synthetic-ticket access matrix only; live permission freshness unverified. See docs/defects.md and technical-debt.md.</t>
  </si>
  <si>
    <t>NFR-002</t>
  </si>
  <si>
    <t>Pilot response time</t>
  </si>
  <si>
    <t>Requester; Staff; Management; PED A-03, §2.2.2 Quality/Cost; §5.2 concern 3; MB §4</t>
  </si>
  <si>
    <t>SR-IN-01; SR-IN-03; SR-IN-07; SR-IN-13</t>
  </si>
  <si>
    <t>AC-NFR-002-1; AC-NFR-002-2</t>
  </si>
  <si>
    <t>ADR-M2-01; ADR-M2-03; ADR-M2-04; docs/decisions/README.md</t>
  </si>
  <si>
    <t>Pilot performance</t>
  </si>
  <si>
    <t>NFR-003</t>
  </si>
  <si>
    <t>Data integrity on save</t>
  </si>
  <si>
    <t>Requester; Staff; Management; PED §1.1; §7.1.2; MB §15</t>
  </si>
  <si>
    <t>SR-IN-01; SR-IN-09-12; SR-IN-15</t>
  </si>
  <si>
    <t>AC-NFR-003-1; AC-NFR-003-2</t>
  </si>
  <si>
    <t>A05/A06; E01; database checks; passed 2026-10-13 where mapped; docs/testing-m3.md.</t>
  </si>
  <si>
    <t>Failed status write rolls back; stale version rejected; saved effects agree.</t>
  </si>
  <si>
    <t>Submission/assignment/idempotency and complete process restart unverified. See docs/defects.md and technical-debt.md.</t>
  </si>
  <si>
    <t>NFR-004</t>
  </si>
  <si>
    <t>Requester usability</t>
  </si>
  <si>
    <t>Requester; PED §1.2, A-01; MB §5</t>
  </si>
  <si>
    <t>SR-IN-01; SR-IN-03; SR-IN-04</t>
  </si>
  <si>
    <t>AC-NFR-004-1; AC-NFR-004-2</t>
  </si>
  <si>
    <t>ADR-M2-01; ADR-M2-04; docs/decisions/README.md</t>
  </si>
  <si>
    <t>No representative participant evaluation</t>
  </si>
  <si>
    <t>Usability supports pilot scope</t>
  </si>
  <si>
    <t>Future requester UI</t>
  </si>
  <si>
    <t>No additional data decision</t>
  </si>
  <si>
    <t>R-021</t>
  </si>
  <si>
    <t>No five-participant usability exercise.</t>
  </si>
  <si>
    <t>NFR-005</t>
  </si>
  <si>
    <t>Responsive and keyboard-usable interface</t>
  </si>
  <si>
    <t>Requester; Staff; Management; PED §2.1.2; A-01; MB §5, §15</t>
  </si>
  <si>
    <t>Cross-cutting; responsive web scope</t>
  </si>
  <si>
    <t>AC-NFR-005-1; AC-NFR-005-2</t>
  </si>
  <si>
    <t>Landing exists; viewport/keyboard/core-route acceptance pending</t>
  </si>
  <si>
    <t>Accessibility/responsive presentation</t>
  </si>
  <si>
    <t>Razor landing; future functional views</t>
  </si>
  <si>
    <t>No representative responsive/keyboard workflow evaluation.</t>
  </si>
  <si>
    <t>NFR-006</t>
  </si>
  <si>
    <t>Protected data in transit</t>
  </si>
  <si>
    <t>Requester; Staff; Management; PED §2.2.2 Security; §5.2 concern 6; MB §16</t>
  </si>
  <si>
    <t>Cross-cutting: protected product data</t>
  </si>
  <si>
    <t>AC-NFR-006-1; AC-NFR-006-2</t>
  </si>
  <si>
    <t>ADR-M2-01; ADR-M2-03; ADR-M2-04; ADR-M2-06; docs/decisions/README.md</t>
  </si>
  <si>
    <t>M3 suite ran over HTTPS; passed 2026-10-13 where mapped; docs/testing-m3.md.</t>
  </si>
  <si>
    <t>Secure deployment constraint</t>
  </si>
  <si>
    <t>Future HTTPS host and cookie deployment</t>
  </si>
  <si>
    <t>TLS for protected HTTP and database traffic</t>
  </si>
  <si>
    <t>R-033</t>
  </si>
  <si>
    <t>Temporary loopback certificate and secure cookies used for test host.</t>
  </si>
  <si>
    <t>Real deployed certificate/HTTPS redirect and browser acceptance pending. See docs/defects.md and technical-debt.md.</t>
  </si>
  <si>
    <t>NFR-007</t>
  </si>
  <si>
    <t>Recoverable request records</t>
  </si>
  <si>
    <t>Project team; Management; PED §5.2 concern 7; §7.1; MB §17</t>
  </si>
  <si>
    <t>Cross-cutting: retained request/history data</t>
  </si>
  <si>
    <t>AC-NFR-007-1; AC-NFR-007-2</t>
  </si>
  <si>
    <t>RPO/RTO targets retained; no restore evidence</t>
  </si>
  <si>
    <t>Recovery constraint</t>
  </si>
  <si>
    <t>Future backup/restore process</t>
  </si>
  <si>
    <t>PostgreSQL backup and timed restore</t>
  </si>
  <si>
    <t>R-018; R-040</t>
  </si>
  <si>
    <t>No backup/restore measurement against RPO/RTO.</t>
  </si>
  <si>
    <t>NFR-008</t>
  </si>
  <si>
    <t>Privacy of logs and errors</t>
  </si>
  <si>
    <t>Requester; Staff; Management; PED §5.2 concern 6; R-004, R-005; MB §16</t>
  </si>
  <si>
    <t>Cross-cutting: restricted information</t>
  </si>
  <si>
    <t>AC-NFR-008-1; AC-NFR-008-2</t>
  </si>
  <si>
    <t>ADR-M2-01; ADR-M2-04; ADR-M2-05; ADR-M2-06; docs/decisions/README.md</t>
  </si>
  <si>
    <t>A05; H12/H13; passed 2026-10-13 where mapped; docs/testing-m3.md.</t>
  </si>
  <si>
    <t>Privacy and failure behaviour</t>
  </si>
  <si>
    <t>Safe error middleware; no private payload logging</t>
  </si>
  <si>
    <t>Filtered DTO; generic exception handling</t>
  </si>
  <si>
    <t>R-034; R-035</t>
  </si>
  <si>
    <t>500 does not disclose exception/private marker; responses no-store.</t>
  </si>
  <si>
    <t>Full dummy-secret/log-content audit pending. See docs/defects.md and technical-debt.md.</t>
  </si>
  <si>
    <t>NFR-009</t>
  </si>
  <si>
    <t>Testability of core business rules</t>
  </si>
  <si>
    <t>Project team; PED §5.2 concern 4; MB §15; M1 §4</t>
  </si>
  <si>
    <t>Cross-cutting: core request lifecycle</t>
  </si>
  <si>
    <t>AC-NFR-009-1; AC-NFR-009-2</t>
  </si>
  <si>
    <t>ADR-M2-01; ADR-M2-04; ADR-M2-05; ADR-M2-06; ADR-M2-07; docs/decisions/README.md</t>
  </si>
  <si>
    <t>C01-C06; BB01-BB05; A01-A06; E01/E02; passed 2026-10-13 where mapped; docs/testing-m3.md.</t>
  </si>
  <si>
    <t>Testability</t>
  </si>
  <si>
    <t>Injected reader/policy; verification executable</t>
  </si>
  <si>
    <t>Synthetic data with controlled store fault</t>
  </si>
  <si>
    <t>Repeatable core access/status cases; negative control fails forbidden transition.</t>
  </si>
  <si>
    <t>Submission/assignment/reporting rules remain unimplemented. See docs/defects.md and technical-debt.md.</t>
  </si>
  <si>
    <t>Source key</t>
  </si>
  <si>
    <t>PED = supplied PED1, sections 1.2 and 2.1–2.2. MB = SEN381 CivicConnect Master Project Brief, sections 3 and 11.</t>
  </si>
  <si>
    <t>RTM format</t>
  </si>
  <si>
    <t>Status</t>
  </si>
  <si>
    <t>Maintenance</t>
  </si>
  <si>
    <t>Keep requirement IDs stable. Update affected acceptance criteria and trace links when a change is approved. Add actual evidence links as work progresses.</t>
  </si>
  <si>
    <t>Source PR 10</t>
  </si>
  <si>
    <t>https://github.com/Michael-Ellis819/Virtual_Group_K_SEN381_Project/pull/10</t>
  </si>
  <si>
    <t>Source PR 11</t>
  </si>
  <si>
    <t>https://github.com/Michael-Ellis819/Virtual_Group_K_SEN381_Project/pull/11</t>
  </si>
  <si>
    <t>M1 history</t>
  </si>
  <si>
    <t>https://github.com/Michael-Ellis819/Virtual_Group_K_SEN381_Project/pull/3</t>
  </si>
  <si>
    <t>Local evidence</t>
  </si>
  <si>
    <t>docs/evidence/local-verification.txt; checked 2026-09-30; 29 service/HTTP checks passed; fixture only</t>
  </si>
  <si>
    <t>ID</t>
  </si>
  <si>
    <t>Acceptance criterion 1</t>
  </si>
  <si>
    <t>Acceptance criterion 2</t>
  </si>
  <si>
    <t>Allow requesters to submit a request with a category, description and location.</t>
  </si>
  <si>
    <t>High</t>
  </si>
  <si>
    <t>AC-FR-001-1: A valid submission saves one request with a unique reference, date and New status.</t>
  </si>
  <si>
    <t>AC-FR-001-2: Missing required fields or an invalid category are rejected without saving a request.</t>
  </si>
  <si>
    <t>Use a predefined list of request categories.</t>
  </si>
  <si>
    <t>AC-FR-002-1: A requester can select and save a category from the agreed list.</t>
  </si>
  <si>
    <t>AC-FR-002-2: An unlisted category is rejected; existing requests retain their saved category.</t>
  </si>
  <si>
    <t>Allow requesters to view the current status of their own requests.</t>
  </si>
  <si>
    <t>AC-FR-003-1: After an authorised update, the requester sees the saved status and update date.</t>
  </si>
  <si>
    <t>AC-FR-003-2: Entering another requester’s reference does not reveal its status or details.</t>
  </si>
  <si>
    <t>Allow requesters to view their previous requests.</t>
  </si>
  <si>
    <t>Medium</t>
  </si>
  <si>
    <t>AC-FR-004-1: The list shows each own request’s reference, category, date and current status, including completed requests.</t>
  </si>
  <si>
    <t>AC-FR-004-2: Other users’ requests are excluded; an empty list displays a clear message.</t>
  </si>
  <si>
    <t>Provide requester feedback when a request is accepted, rejected, updated or completed.</t>
  </si>
  <si>
    <t>AC-FR-005-1: Each event produces feedback showing the event, date and current status; rejection and completion include a reason or summary.</t>
  </si>
  <si>
    <t>AC-FR-005-2: Feedback remains available later and excludes private staff notes and other users’ information.</t>
  </si>
  <si>
    <t>Allow staff to view requests permitted by their role and assigned categories.</t>
  </si>
  <si>
    <t>AC-FR-006-1: Staff see all and only the requests allowed by their permissions.</t>
  </si>
  <si>
    <t>AC-FR-006-2: Direct access to a request outside these permissions is denied.</t>
  </si>
  <si>
    <t>Allow staff to search requests and filter by status, category, date and priority, and sort by date or priority.</t>
  </si>
  <si>
    <t>AC-FR-007-1: Searches and combined filters return only matching authorised records, including both date-range boundaries.</t>
  </si>
  <si>
    <t>AC-FR-007-2: Sorting gives the expected order; clearing filters restores the list and no matches displays an empty result.</t>
  </si>
  <si>
    <t>Allow authorised staff to view full request details.</t>
  </si>
  <si>
    <t>AC-FR-008-1: Details show the reference, requester, category, description, location, date, status, priority, owner, due date and notes.</t>
  </si>
  <si>
    <t>AC-FR-008-2: Unauthorised users cannot open the same details; missing owner or due date is clearly shown.</t>
  </si>
  <si>
    <t>Allow authorised staff to assign a request or accept responsibility for it.</t>
  </si>
  <si>
    <t>AC-FR-009-1: Assignment records one eligible owner, the person making the change and the time.</t>
  </si>
  <si>
    <t>AC-FR-009-2: Ineligible owners are rejected; simultaneous attempts to claim a request cannot create two owners.</t>
  </si>
  <si>
    <t>Allow request status changes only through the agreed lifecycle.</t>
  </si>
  <si>
    <t>AC-FR-010-1: Allowed changes save the new status, previous status, actor and time.</t>
  </si>
  <si>
    <t>AC-FR-010-2: Invalid transitions and changes by unauthorised users are rejected without changing the request.</t>
  </si>
  <si>
    <t>Allow staff to record comments, actions and resolution notes against a request.</t>
  </si>
  <si>
    <t>AC-FR-011-1: A nonblank entry is saved with its author and time; blank entries are rejected.</t>
  </si>
  <si>
    <t>AC-FR-011-2: Requester-visible updates reach the requester; internal notes remain private and corrections preserve earlier entries.</t>
  </si>
  <si>
    <t>Allow authorised staff to resolve and close requests.</t>
  </si>
  <si>
    <t>AC-FR-012-1: Resolving an In Progress request requires a resolution summary and records the actor and time.</t>
  </si>
  <si>
    <t>AC-FR-012-2: Only an authorised user can close a Resolved request; other closure attempts are rejected.</t>
  </si>
  <si>
    <t>Allow management to view counts of open, overdue, resolved and closed requests.</t>
  </si>
  <si>
    <t>AC-FR-013-1: Counts match a known dataset using the stated lifecycle and overdue rules.</t>
  </si>
  <si>
    <t>AC-FR-013-2: Refreshing shows saved changes, including zero counts; requesters cannot access organisation-wide totals.</t>
  </si>
  <si>
    <t>Allow management to view requests and counts by category and status.</t>
  </si>
  <si>
    <t>AC-FR-014-1: Category and status selections show only matching requests and correct counts.</t>
  </si>
  <si>
    <t>AC-FR-014-2: Clearing selections restores the permitted overview; categories with no matches show zero.</t>
  </si>
  <si>
    <t>Keep request history to support accountability and basic performance reporting.</t>
  </si>
  <si>
    <t>AC-FR-015-1: History records creation, ownership, status, priority, due-date and note changes with actor and time.</t>
  </si>
  <si>
    <t>AC-FR-015-2: History survives restart and cannot be silently changed by ordinary users; timestamps support elapsed-time calculations.</t>
  </si>
  <si>
    <t>Authenticate users and apply Requester, Staff and Management permissions.</t>
  </si>
  <si>
    <t>AC-FR-016-1: Valid credentials for an enabled account grant the agreed access; invalid credentials grant no session.</t>
  </si>
  <si>
    <t>AC-FR-016-2: Signed-out users cannot access protected functions, and users cannot grant themselves extra permissions.</t>
  </si>
  <si>
    <t>Record a controlled priority for each request and allow authorised staff to change it.</t>
  </si>
  <si>
    <t>AC-FR-017-1: A new request receives the default priority; permitted changes are saved and appear in sorting and filtering.</t>
  </si>
  <si>
    <t>AC-FR-017-2: Unlisted priorities and requester attempts to change priority are rejected.</t>
  </si>
  <si>
    <t>Allow staff to record due dates and identify overdue requests.</t>
  </si>
  <si>
    <t>AC-FR-018-1: A valid due date and any change to it are saved with actor and time; invalid dates are rejected.</t>
  </si>
  <si>
    <t>AC-FR-018-2: Only open requests past their due time are overdue; requests without a due date are clearly marked.</t>
  </si>
  <si>
    <t>Protect requests using role and record-level access controls.</t>
  </si>
  <si>
    <t>AC-NFR-001-1: The role/access test set produces zero unauthorised disclosures or changes, including direct requests.</t>
  </si>
  <si>
    <t>AC-NFR-001-2: Requester ownership and staff-category boundaries are enforced while authorised actions succeed.</t>
  </si>
  <si>
    <t>Complete at least 95% of submissions, status views, staff searches and management summaries within 3 seconds at pilot load, with at most 1% failures.</t>
  </si>
  <si>
    <t>AC-NFR-002-1: Test with 10 concurrent users and 1,000 requests for 10 minutes after a 2-minute warm-up, with at least 100 runs per operation.</t>
  </si>
  <si>
    <t>AC-NFR-002-2: Measure each operation separately from user action to visible result; record failures, environment and cold-start time separately.</t>
  </si>
  <si>
    <t>Save request data and its history together without partial updates.</t>
  </si>
  <si>
    <t>AC-NFR-003-1: A failed submission, assignment or status change leaves either the complete change or the previous state.</t>
  </si>
  <si>
    <t>AC-NFR-003-2: Saved records survive restart; a double-click submission does not create duplicate requests.</t>
  </si>
  <si>
    <t>Make request submission and status checking easy for users with basic digital skills.</t>
  </si>
  <si>
    <t>AC-NFR-004-1: At least four of five representative participants submit a valid request and find its status within five minutes without coaching.</t>
  </si>
  <si>
    <t>AC-NFR-004-2: All participants use the same task; completion times and errors are recorded.</t>
  </si>
  <si>
    <t>Provide a responsive web interface that supports keyboard use.</t>
  </si>
  <si>
    <t>AC-NFR-005-1: At 360 px and 1366 px viewport widths in Chrome and Edge, controls remain readable and usable without page-level horizontal scrolling.</t>
  </si>
  <si>
    <t>AC-NFR-005-2: Keyboard users can reach and operate core controls, see focus, submit a request and read validation errors.</t>
  </si>
  <si>
    <t>Use HTTPS to protect authentication and request data in deployed environments.</t>
  </si>
  <si>
    <t>AC-NFR-006-1: Sign-in and protected pages use a valid certificate with no mixed-content requests.</t>
  </si>
  <si>
    <t>AC-NFR-006-2: HTTP is redirected or denied without protected content; application-generated credentials and request data use HTTPS only.</t>
  </si>
  <si>
    <t>Support recovery with no more than 24 hours of lost data and restoration within four hours.</t>
  </si>
  <si>
    <t>AC-NFR-007-1: A restore test meets both targets and recovers consistent request, ownership, status and history records.</t>
  </si>
  <si>
    <t>AC-NFR-007-2: The backup age, restoration time and resulting records are recorded for verification.</t>
  </si>
  <si>
    <t>Keep sensitive information out of application logs and error messages.</t>
  </si>
  <si>
    <t>AC-NFR-008-1: Tests using dummy secrets and private request content reveal none of that content in logs or user-facing errors.</t>
  </si>
  <si>
    <t>AC-NFR-008-2: Errors identify the failed action without exposing credentials, connection secrets or internal stack traces to users.</t>
  </si>
  <si>
    <t>Allow core request rules to be tested with controlled data in a separate test environment.</t>
  </si>
  <si>
    <t>AC-NFR-009-1: Submission, access, assignment, status and reporting rules accept test inputs and produce observable results without production data.</t>
  </si>
  <si>
    <t>AC-NFR-009-2: Repeating a check from the same starting state gives the same outcome; deliberately invalid behaviour is detected.</t>
  </si>
  <si>
    <t>Lifecycle</t>
  </si>
  <si>
    <t>Requests follow New → Assigned → In Progress → Resolved → Closed. A New request may be rejected with a recorded reason. Open means New, Assigned or In Progress. Reopening is not included.</t>
  </si>
  <si>
    <t>Permissions and feedback</t>
  </si>
  <si>
    <t>Requesters view their own requests and public updates. Staff access follows role/category permissions. Management accesses service reporting. Feedback is provided within the application; internal staff notes remain private. Email notifications are not included in the initial version.</t>
  </si>
  <si>
    <t>Priority and overdue rules</t>
  </si>
  <si>
    <t>Priorities are Low, Normal and High, with Normal as default. Authorised staff can change priorities and set due dates. An open request is overdue when its due time has passed. Requests without a due date are clearly identified and are not counted as overdue. Automatic escalation remains deferred.</t>
  </si>
  <si>
    <t>Categories</t>
  </si>
  <si>
    <t>The initial categories are Facility Faults, Damaged Equipment, Security Concerns, IT Support, Maintenance, Lost Property and Other. Each request must use one category from this list.</t>
  </si>
  <si>
    <t>Quality targets</t>
  </si>
  <si>
    <t>The numerical performance, usability and recovery targets in NFR-002, NFR-004 and NFR-007 are acceptance targets for the pilot. Hosting options will be assessed against them in M2. Target changes follow change control. Achievement will be demonstrated through testing in later milestones.</t>
  </si>
  <si>
    <t>Attachments</t>
  </si>
  <si>
    <t>File and photo uploads are deferred to future scope to limit storage, security and implementation work. Initial submissions contain a category, description and location.</t>
  </si>
  <si>
    <t>Scope boundaries</t>
  </si>
  <si>
    <t>External messaging integrations, payments, multi-tenant support and native apps are excluded from the initial version. Attachments, automated escalation, public APIs, AI categorisation and multilingual support remain future scope. Technology and architecture decisions will be addressed in M2.</t>
  </si>
  <si>
    <t>PERF-01: 200 reads, max 10 concurrent; 200 successes, 0 errors; 1.62 ms mean, 0.41 ms median, 8.69 ms p95; 0.12 s; 1696.16 ops/sec.</t>
  </si>
  <si>
    <t>EfRequestReader; EF Core/PostgreSQL; separate concurrent-read benchmark</t>
  </si>
  <si>
    <t>One temporary request; separate DbContext per read; setup/cleanup excluded from measured workload.</t>
  </si>
  <si>
    <t>R-016; R-022; R-057; M3-R05</t>
  </si>
  <si>
    <t>No separate database-level target. Observed: 200/200 reads succeed; 1.62 ms mean, 8.69 ms p95. Full user-visible pilot acceptance not established.</t>
  </si>
  <si>
    <t>AC-NFR-002-1/2 unchanged: 1000 requests, 10 users, 10 minutes after 2-minute warm-up; user-visible timings/cold start untested. Exact execution commit not recorded.</t>
  </si>
  <si>
    <t>14 October 2026; Michael Ellis 600332; macOS; SDK 8.0.425; EF Core 8; PostgreSQL 17. Second run confirmed through Cameron.</t>
  </si>
  <si>
    <t>Reviewed 14 Oct 2026; baseline 3760605 (local tag). NOT READY; PED Section 14; docs/release-evidence.md.</t>
  </si>
  <si>
    <t>src/CivicConnect.Web/: RequestQueryService; RequestAccessPolicy; EfRequestReader; RequestStatusService. M2 PR12; M3 PR14; reviewed combined baseline 3760605 (14 Oct 2026).</t>
  </si>
  <si>
    <t>M2 requirement/AC unchanged; CR-M3-C01, 13 Oct 2026. Combined conformance review completed 14 Oct 2026; baseline 3760605.</t>
  </si>
  <si>
    <t>src/CivicConnect.Web/: RequestStatusService; EfRequestStatusWriter; EfRequestReader. M2 PR12; M3 PR14; reviewed combined baseline 3760605 (14 Oct 2026).</t>
  </si>
  <si>
    <t>RequestStatusService; transactional public feedback; authorised feedback projection</t>
  </si>
  <si>
    <t>src/CivicConnect.Web/: RequestAccessPolicy; request detail boundary only. M2 PR12; M3 PR14; reviewed combined baseline 3760605 (14 Oct 2026).</t>
  </si>
  <si>
    <t>src/CivicConnect.Web/: RequestQueryService; RequestAccessPolicy; EfRequestReader. M2 PR12; M3 PR14; reviewed combined baseline 3760605 (14 Oct 2026).</t>
  </si>
  <si>
    <t>src/CivicConnect.Web/: StatusTransitionService; RequestStatusService; EfRequestStatusWriter. M2 PR12; M3 PR14; reviewed combined baseline 3760605 (14 Oct 2026).</t>
  </si>
  <si>
    <t>StatusTransitionService; six State classes; RequestStatusService</t>
  </si>
  <si>
    <t>R-011; R-027; R-047 closed for tested lifecycle; TD-04 closed for reviewed architecture (14 Oct 2026).</t>
  </si>
  <si>
    <t>src/CivicConnect.Web/: DTO note filtering; EfRequestStatusWriter public feedback. M2 PR12; M3 PR14; reviewed combined baseline 3760605 (14 Oct 2026).</t>
  </si>
  <si>
    <t>RequestQueryService note projection; transactional status-related public-note writer; general note workflow unimplemented</t>
  </si>
  <si>
    <t>src/CivicConnect.Web/: StatusTransitionService; RequestStatusService; status POST. M2 PR12; M3 PR14; reviewed combined baseline 3760605 (14 Oct 2026).</t>
  </si>
  <si>
    <t>RequestStatusService; State rules for resolution and closure; transactional history/feedback writer</t>
  </si>
  <si>
    <t>src/CivicConnect.Web/: RequestStatusHistoryEntity; EfRequestStatusWriter. M2 PR12; M3 PR14; reviewed combined baseline 3760605 (14 Oct 2026).</t>
  </si>
  <si>
    <t>src/CivicConnect.Web/: Cookie authentication; central action/read policy. M2 PR12; M3 PR14; reviewed combined baseline 3760605 (14 Oct 2026).</t>
  </si>
  <si>
    <t>src/CivicConnect.Web/: RequestAccessPolicy; filtered DTO; versioned status command. M2 PR12; M3 PR14; reviewed combined baseline 3760605 (14 Oct 2026).</t>
  </si>
  <si>
    <t>PR16: original source 4a7cebe; current head 7f0417b. tests/CivicConnect.PerformanceTests/Program.cs; EfRequestReader/PostgreSQL. Reviewed combined baseline 3760605.</t>
  </si>
  <si>
    <t>M2 acceptance criteria unchanged. PERF-01 second run confirmed 14 Oct 2026; completed combined review and PR16 CI linked. Full pilot acceptance unverified.</t>
  </si>
  <si>
    <t>PERF-01: docs/evidence/m3-performance-results.txt and m3-performance-run-confirmation.md; execution SHA unconfirmed. PR16 CI, head 7f0417b: https://github.com/Michael-Ellis819/Virtual_Group_K_SEN381_Project/actions/runs/38577509314 (performance and dependency audits; not the combined M3 suite).</t>
  </si>
  <si>
    <t>src/CivicConnect.Web/: EF transaction; concurrency version; status coordinator. M2 PR12; M3 PR14; reviewed combined baseline 3760605 (14 Oct 2026).</t>
  </si>
  <si>
    <t>RequestStatusService; EfRequestStatusWriter; transaction and optimistic concurrency</t>
  </si>
  <si>
    <t>src/CivicConnect.Web/: Secure cookies; temporary HTTPS test host. M2 PR12; M3 PR14; reviewed combined baseline 3760605 (14 Oct 2026).</t>
  </si>
  <si>
    <t>src/CivicConnect.Web/: Generic HTTP exception boundary. M2 PR12; M3 PR14; reviewed combined baseline 3760605 (14 Oct 2026).</t>
  </si>
  <si>
    <t>src/CivicConnect.Web/: Injected reader/policy/writer; isolated executable suites. M2 PR12; M3 PR14; reviewed combined baseline 3760605 (14 Oct 2026).</t>
  </si>
  <si>
    <t>R-009; R-038; R-047 closed for tested lifecycle; R-053 open (combined CI coverage).</t>
  </si>
  <si>
    <t>Personal run: docs/evidence/m3/personal-20261013-181846/; mapped IDs in I28. PR16 CI: https://github.com/Michael-Ellis819/Virtual_Group_K_SEN381_Project/actions/runs/38577509314 (legacy/database/performance and dependency audits). Cameron's 19 M3 cases verified locally; combined remote run not evidenced.</t>
  </si>
  <si>
    <t>M1/M2 requirements and acceptance criteria retained. M3 implementation/test evidence and completed combined review (14 Oct 2026) added. Review: docs/reviews/Bianca_M3_Final_Review_Updated.docx; baseline 3760605, local tag m3-combined-review-20261014.</t>
  </si>
  <si>
    <t>Planned = no working implementation. In Development = partial evidence; full acceptance unverified. Combined work reviewed by Bianca and Michael on 14 Oct 2026. Formal repository approvals/combined CI are assessed separately in PED Section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</si>
</sst>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000000"/>
      <name val="Calibri"/>
      <family val="2"/>
    </font>
    <font>
      <b/>
      <sz val="11"/>
      <color rgb="FF000000"/>
      <name val="Calibri"/>
      <family val="2"/>
    </font>
    <font>
      <sz val="11"/>
      <name val="Calibri"/>
      <family val="2"/>
    </font>
    <font>
      <b/>
      <sz val="11"/>
      <name val="Calibri"/>
      <family val="2"/>
    </font>
  </fonts>
  <fills count="6">
    <fill>
      <patternFill patternType="none"/>
    </fill>
    <fill>
      <patternFill patternType="gray125"/>
    </fill>
    <fill>
      <patternFill patternType="solid">
        <fgColor rgb="FFE7E6E6"/>
      </patternFill>
    </fill>
    <fill>
      <patternFill patternType="solid">
        <fgColor rgb="FFFFFFFF"/>
      </patternFill>
    </fill>
    <fill>
      <patternFill patternType="solid">
        <fgColor rgb="FFF5F5F5"/>
      </patternFill>
    </fill>
    <fill>
      <patternFill patternType="solid">
        <fgColor rgb="FFD9D9D9"/>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3" fillId="0" borderId="0" xfId="0" applyFont="1" applyAlignment="1">
      <alignment wrapText="1"/>
    </xf>
    <xf numFmtId="0" fontId="4" fillId="2" borderId="0" xfId="0" applyFont="1" applyFill="1" applyAlignment="1">
      <alignment wrapText="1"/>
    </xf>
    <xf numFmtId="0" fontId="0" fillId="0" borderId="0" xfId="0" applyAlignment="1">
      <alignment wrapText="1"/>
    </xf>
    <xf numFmtId="0" fontId="3" fillId="3" borderId="0" xfId="0" applyFont="1" applyFill="1" applyAlignment="1">
      <alignment vertical="top" wrapText="1"/>
    </xf>
    <xf numFmtId="0" fontId="3" fillId="4" borderId="0" xfId="0" applyFont="1" applyFill="1" applyAlignment="1">
      <alignment vertical="top" wrapText="1"/>
    </xf>
    <xf numFmtId="0" fontId="4" fillId="5" borderId="0" xfId="0" applyFont="1" applyFill="1" applyAlignment="1">
      <alignment vertical="top" wrapText="1"/>
    </xf>
    <xf numFmtId="0" fontId="0" fillId="0" borderId="0" xfId="0" applyAlignment="1">
      <alignment vertical="top" wrapText="1"/>
    </xf>
    <xf numFmtId="0" fontId="2" fillId="2" borderId="0" xfId="0" applyFont="1" applyFill="1" applyAlignment="1">
      <alignment vertical="top" wrapText="1"/>
    </xf>
    <xf numFmtId="0" fontId="1" fillId="4" borderId="0" xfId="0" applyFont="1" applyFill="1" applyAlignment="1">
      <alignment vertical="top" wrapText="1"/>
    </xf>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8"/>
  <sheetViews>
    <sheetView showGridLines="0" tabSelected="1" workbookViewId="0">
      <pane xSplit="1" ySplit="1" topLeftCell="B2" activePane="bottomRight" state="frozen"/>
      <selection pane="topRight"/>
      <selection pane="bottomLeft"/>
      <selection pane="bottomRight"/>
    </sheetView>
  </sheetViews>
  <sheetFormatPr defaultRowHeight="14.25"/>
  <cols>
    <col min="1" max="1" width="11.625" customWidth="1"/>
    <col min="2" max="2" width="26.125" customWidth="1"/>
    <col min="3" max="3" width="37.25" customWidth="1"/>
    <col min="4" max="4" width="27.75" customWidth="1"/>
    <col min="5" max="5" width="10" customWidth="1"/>
    <col min="6" max="6" width="32.25" customWidth="1"/>
    <col min="7" max="9" width="48" customWidth="1"/>
    <col min="10" max="10" width="32" customWidth="1"/>
    <col min="11" max="12" width="22" customWidth="1"/>
    <col min="13" max="13" width="32" customWidth="1"/>
    <col min="14" max="16" width="48" customWidth="1"/>
    <col min="17" max="17" width="32" customWidth="1"/>
    <col min="18" max="18" width="48" customWidth="1"/>
    <col min="19" max="21" width="65" customWidth="1"/>
    <col min="22" max="22" width="28" customWidth="1"/>
  </cols>
  <sheetData>
    <row r="1" spans="1:22" ht="42" customHeight="1">
      <c r="A1" s="9" t="s">
        <v>0</v>
      </c>
      <c r="B1" s="9" t="s">
        <v>1</v>
      </c>
      <c r="C1" s="9" t="s">
        <v>2</v>
      </c>
      <c r="D1" s="9" t="s">
        <v>3</v>
      </c>
      <c r="E1" s="9" t="s">
        <v>4</v>
      </c>
      <c r="F1" s="9" t="s">
        <v>5</v>
      </c>
      <c r="G1" s="9" t="s">
        <v>6</v>
      </c>
      <c r="H1" s="9" t="s">
        <v>7</v>
      </c>
      <c r="I1" s="9" t="s">
        <v>8</v>
      </c>
      <c r="J1" s="9" t="s">
        <v>9</v>
      </c>
      <c r="K1" s="9" t="s">
        <v>10</v>
      </c>
      <c r="L1" s="9" t="s">
        <v>11</v>
      </c>
      <c r="M1" s="3" t="s">
        <v>12</v>
      </c>
      <c r="N1" s="3" t="s">
        <v>13</v>
      </c>
      <c r="O1" s="3" t="s">
        <v>14</v>
      </c>
      <c r="P1" s="3" t="s">
        <v>15</v>
      </c>
      <c r="Q1" s="3" t="s">
        <v>16</v>
      </c>
      <c r="R1" s="3" t="s">
        <v>17</v>
      </c>
      <c r="S1" s="7" t="s">
        <v>18</v>
      </c>
      <c r="T1" s="7" t="s">
        <v>19</v>
      </c>
      <c r="U1" s="7" t="s">
        <v>20</v>
      </c>
      <c r="V1" s="7" t="s">
        <v>21</v>
      </c>
    </row>
    <row r="2" spans="1:22" ht="95.1" customHeight="1">
      <c r="A2" s="1" t="s">
        <v>22</v>
      </c>
      <c r="B2" s="1" t="s">
        <v>23</v>
      </c>
      <c r="C2" s="1" t="s">
        <v>24</v>
      </c>
      <c r="D2" s="1" t="s">
        <v>25</v>
      </c>
      <c r="E2" s="1" t="str">
        <f>INDEX(Requirements!$C$2:$C$28,MATCH(A2,Requirements!$A$2:$A$28,0))</f>
        <v>High</v>
      </c>
      <c r="F2" s="1" t="s">
        <v>26</v>
      </c>
      <c r="G2" s="1" t="s">
        <v>27</v>
      </c>
      <c r="H2" s="1" t="s">
        <v>28</v>
      </c>
      <c r="I2" s="1" t="s">
        <v>29</v>
      </c>
      <c r="J2" s="1" t="s">
        <v>30</v>
      </c>
      <c r="K2" s="1" t="inlineStr">
        <is>
          <t>15 Oct 2026; 668795a; PR17/CI pass. CONDITIONALLY READY: agreed M3 read/status increment, simulated staging only. PED Section 14.</t>
        </is>
      </c>
      <c r="L2" s="1" t="s">
        <v>31</v>
      </c>
      <c r="M2" s="5" t="s">
        <v>32</v>
      </c>
      <c r="N2" s="5" t="s">
        <v>33</v>
      </c>
      <c r="O2" s="5" t="s">
        <v>34</v>
      </c>
      <c r="P2" s="5" t="s">
        <v>35</v>
      </c>
      <c r="Q2" s="5" t="s">
        <v>36</v>
      </c>
      <c r="R2" s="5" t="str">
        <f>INDEX(Requirements!$B$2:$B$28,MATCH(A2,Requirements!$A$2:$A$28,0))</f>
        <v>Allow requesters to submit a request with a category, description and location.</v>
      </c>
      <c r="S2" s="8" t="s">
        <v>37</v>
      </c>
      <c r="T2" s="8" t="s">
        <v>38</v>
      </c>
      <c r="U2" s="8" t="s">
        <v>39</v>
      </c>
      <c r="V2" s="8" t="s">
        <v>40</v>
      </c>
    </row>
    <row r="3" spans="1:22" ht="95.1" customHeight="1">
      <c r="A3" s="10" t="s">
        <v>41</v>
      </c>
      <c r="B3" s="10" t="s">
        <v>42</v>
      </c>
      <c r="C3" s="10" t="s">
        <v>43</v>
      </c>
      <c r="D3" s="10" t="s">
        <v>44</v>
      </c>
      <c r="E3" s="10" t="str">
        <f>INDEX(Requirements!$C$2:$C$28,MATCH(A3,Requirements!$A$2:$A$28,0))</f>
        <v>High</v>
      </c>
      <c r="F3" s="10" t="s">
        <v>45</v>
      </c>
      <c r="G3" s="10" t="s">
        <v>46</v>
      </c>
      <c r="H3" s="10" t="s">
        <v>28</v>
      </c>
      <c r="I3" s="10" t="s">
        <v>47</v>
      </c>
      <c r="J3" s="10" t="s">
        <v>30</v>
      </c>
      <c r="K3" s="10" t="inlineStr">
        <is>
          <t>15 Oct 2026; 668795a; PR17/CI pass. CONDITIONALLY READY: agreed M3 read/status increment, simulated staging only. PED Section 14.</t>
        </is>
      </c>
      <c r="L3" s="10" t="s">
        <v>31</v>
      </c>
      <c r="M3" s="6" t="s">
        <v>48</v>
      </c>
      <c r="N3" s="6" t="s">
        <v>49</v>
      </c>
      <c r="O3" s="6" t="s">
        <v>50</v>
      </c>
      <c r="P3" s="6" t="s">
        <v>35</v>
      </c>
      <c r="Q3" s="6" t="s">
        <v>51</v>
      </c>
      <c r="R3" s="6" t="str">
        <f>INDEX(Requirements!$B$2:$B$28,MATCH(A3,Requirements!$A$2:$A$28,0))</f>
        <v>Use a predefined list of request categories.</v>
      </c>
      <c r="S3" s="8" t="s">
        <v>37</v>
      </c>
      <c r="T3" s="8" t="s">
        <v>52</v>
      </c>
      <c r="U3" s="8" t="s">
        <v>39</v>
      </c>
      <c r="V3" s="8" t="s">
        <v>40</v>
      </c>
    </row>
    <row r="4" spans="1:22" ht="95.1" customHeight="1">
      <c r="A4" s="1" t="s">
        <v>53</v>
      </c>
      <c r="B4" s="1" t="s">
        <v>54</v>
      </c>
      <c r="C4" s="1" t="s">
        <v>24</v>
      </c>
      <c r="D4" s="1" t="s">
        <v>55</v>
      </c>
      <c r="E4" s="1" t="str">
        <f>INDEX(Requirements!$C$2:$C$28,MATCH(A4,Requirements!$A$2:$A$28,0))</f>
        <v>High</v>
      </c>
      <c r="F4" s="1" t="s">
        <v>56</v>
      </c>
      <c r="G4" s="1" t="s">
        <v>57</v>
      </c>
      <c r="H4" s="1" t="inlineStr">
        <is>
          <t>src/CivicConnect.Web/: RequestQueryService; RequestAccessPolicy; EfRequestReader; RequestStatusService. M2 PR12; M3 PR14; published combined implementation 668795a (PR17).</t>
        </is>
      </c>
      <c r="I4" s="1" t="s">
        <v>58</v>
      </c>
      <c r="J4" s="1" t="inlineStr">
        <is>
          <t>M2 requirement/AC unchanged; CR-M3-C01 retained. Bianca/Michael review and PR17 approvals: 14 Oct. Published 668795a; CI verified; docs 15 Oct 2026.</t>
        </is>
      </c>
      <c r="K4" s="1" t="inlineStr">
        <is>
          <t>15 Oct 2026; 668795a; PR17/CI pass. CONDITIONALLY READY: agreed M3 read/status increment, simulated staging only. PED Section 14.</t>
        </is>
      </c>
      <c r="L4" s="1" t="s">
        <v>59</v>
      </c>
      <c r="M4" s="5" t="s">
        <v>60</v>
      </c>
      <c r="N4" s="5" t="s">
        <v>61</v>
      </c>
      <c r="O4" s="5" t="s">
        <v>62</v>
      </c>
      <c r="P4" s="5" t="s">
        <v>35</v>
      </c>
      <c r="Q4" s="5" t="s">
        <v>63</v>
      </c>
      <c r="R4" s="5" t="str">
        <f>INDEX(Requirements!$B$2:$B$28,MATCH(A4,Requirements!$A$2:$A$28,0))</f>
        <v>Allow requesters to view the current status of their own requests.</v>
      </c>
      <c r="S4" s="8" t="s">
        <v>64</v>
      </c>
      <c r="T4" s="8" t="s">
        <v>65</v>
      </c>
      <c r="U4" s="8" t="s">
        <v>66</v>
      </c>
      <c r="V4" s="8" t="s">
        <v>67</v>
      </c>
    </row>
    <row r="5" spans="1:22" ht="95.1" customHeight="1">
      <c r="A5" s="10" t="s">
        <v>68</v>
      </c>
      <c r="B5" s="10" t="s">
        <v>69</v>
      </c>
      <c r="C5" s="10" t="s">
        <v>24</v>
      </c>
      <c r="D5" s="10" t="s">
        <v>70</v>
      </c>
      <c r="E5" s="10" t="str">
        <f>INDEX(Requirements!$C$2:$C$28,MATCH(A5,Requirements!$A$2:$A$28,0))</f>
        <v>Medium</v>
      </c>
      <c r="F5" s="10" t="s">
        <v>71</v>
      </c>
      <c r="G5" s="10" t="s">
        <v>72</v>
      </c>
      <c r="H5" s="10" t="s">
        <v>28</v>
      </c>
      <c r="I5" s="10" t="s">
        <v>73</v>
      </c>
      <c r="J5" s="10" t="s">
        <v>30</v>
      </c>
      <c r="K5" s="10" t="inlineStr">
        <is>
          <t>15 Oct 2026; 668795a; PR17/CI pass. CONDITIONALLY READY: agreed M3 read/status increment, simulated staging only. PED Section 14.</t>
        </is>
      </c>
      <c r="L5" s="10" t="s">
        <v>31</v>
      </c>
      <c r="M5" s="6" t="s">
        <v>60</v>
      </c>
      <c r="N5" s="6" t="s">
        <v>74</v>
      </c>
      <c r="O5" s="6" t="s">
        <v>75</v>
      </c>
      <c r="P5" s="6" t="s">
        <v>35</v>
      </c>
      <c r="Q5" s="6" t="s">
        <v>76</v>
      </c>
      <c r="R5" s="6" t="str">
        <f>INDEX(Requirements!$B$2:$B$28,MATCH(A5,Requirements!$A$2:$A$28,0))</f>
        <v>Allow requesters to view their previous requests.</v>
      </c>
      <c r="S5" s="8" t="s">
        <v>37</v>
      </c>
      <c r="T5" s="8" t="s">
        <v>77</v>
      </c>
      <c r="U5" s="8" t="s">
        <v>39</v>
      </c>
      <c r="V5" s="8" t="s">
        <v>40</v>
      </c>
    </row>
    <row r="6" spans="1:22" ht="95.1" customHeight="1">
      <c r="A6" s="1" t="s">
        <v>78</v>
      </c>
      <c r="B6" s="1" t="s">
        <v>79</v>
      </c>
      <c r="C6" s="1" t="s">
        <v>80</v>
      </c>
      <c r="D6" s="1" t="s">
        <v>81</v>
      </c>
      <c r="E6" s="1" t="str">
        <f>INDEX(Requirements!$C$2:$C$28,MATCH(A6,Requirements!$A$2:$A$28,0))</f>
        <v>Medium</v>
      </c>
      <c r="F6" s="1" t="s">
        <v>82</v>
      </c>
      <c r="G6" s="1" t="s">
        <v>83</v>
      </c>
      <c r="H6" s="1" t="inlineStr">
        <is>
          <t>src/CivicConnect.Web/: RequestStatusService; EfRequestStatusWriter; EfRequestReader. M2 PR12; M3 PR14; published combined implementation 668795a (PR17).</t>
        </is>
      </c>
      <c r="I6" s="1" t="s">
        <v>84</v>
      </c>
      <c r="J6" s="1" t="inlineStr">
        <is>
          <t>M2 requirement/AC unchanged; CR-M3-C01 retained. Bianca/Michael review and PR17 approvals: 14 Oct. Published 668795a; CI verified; docs 15 Oct 2026.</t>
        </is>
      </c>
      <c r="K6" s="1" t="inlineStr">
        <is>
          <t>15 Oct 2026; 668795a; PR17/CI pass. CONDITIONALLY READY: agreed M3 read/status increment, simulated staging only. PED Section 14.</t>
        </is>
      </c>
      <c r="L6" s="1" t="s">
        <v>59</v>
      </c>
      <c r="M6" s="5" t="s">
        <v>85</v>
      </c>
      <c r="N6" s="5" t="s">
        <v>432</v>
      </c>
      <c r="O6" s="5" t="s">
        <v>86</v>
      </c>
      <c r="P6" s="5" t="s">
        <v>35</v>
      </c>
      <c r="Q6" s="5" t="s">
        <v>87</v>
      </c>
      <c r="R6" s="5" t="str">
        <f>INDEX(Requirements!$B$2:$B$28,MATCH(A6,Requirements!$A$2:$A$28,0))</f>
        <v>Provide requester feedback when a request is accepted, rejected, updated or completed.</v>
      </c>
      <c r="S6" s="8" t="s">
        <v>88</v>
      </c>
      <c r="T6" s="8" t="s">
        <v>89</v>
      </c>
      <c r="U6" s="8" t="s">
        <v>66</v>
      </c>
      <c r="V6" s="8" t="s">
        <v>67</v>
      </c>
    </row>
    <row r="7" spans="1:22" ht="95.1" customHeight="1">
      <c r="A7" s="10" t="s">
        <v>90</v>
      </c>
      <c r="B7" s="10" t="s">
        <v>91</v>
      </c>
      <c r="C7" s="10" t="s">
        <v>92</v>
      </c>
      <c r="D7" s="10" t="s">
        <v>93</v>
      </c>
      <c r="E7" s="10" t="str">
        <f>INDEX(Requirements!$C$2:$C$28,MATCH(A7,Requirements!$A$2:$A$28,0))</f>
        <v>High</v>
      </c>
      <c r="F7" s="10" t="s">
        <v>94</v>
      </c>
      <c r="G7" s="10" t="s">
        <v>72</v>
      </c>
      <c r="H7" s="10" t="inlineStr">
        <is>
          <t>src/CivicConnect.Web/: RequestAccessPolicy; request detail boundary only. M2 PR12; M3 PR14; published combined implementation 668795a (PR17).</t>
        </is>
      </c>
      <c r="I7" s="10" t="s">
        <v>95</v>
      </c>
      <c r="J7" s="10" t="inlineStr">
        <is>
          <t>M2 requirement/AC unchanged; CR-M3-C01 retained. Bianca/Michael review and PR17 approvals: 14 Oct. Published 668795a; CI verified; docs 15 Oct 2026.</t>
        </is>
      </c>
      <c r="K7" s="10" t="inlineStr">
        <is>
          <t>15 Oct 2026; 668795a; PR17/CI pass. CONDITIONALLY READY: agreed M3 read/status increment, simulated staging only. PED Section 14.</t>
        </is>
      </c>
      <c r="L7" s="10" t="s">
        <v>59</v>
      </c>
      <c r="M7" s="6" t="s">
        <v>60</v>
      </c>
      <c r="N7" s="6" t="s">
        <v>96</v>
      </c>
      <c r="O7" s="6" t="s">
        <v>97</v>
      </c>
      <c r="P7" s="6" t="s">
        <v>35</v>
      </c>
      <c r="Q7" s="6" t="s">
        <v>98</v>
      </c>
      <c r="R7" s="6" t="str">
        <f>INDEX(Requirements!$B$2:$B$28,MATCH(A7,Requirements!$A$2:$A$28,0))</f>
        <v>Allow staff to view requests permitted by their role and assigned categories.</v>
      </c>
      <c r="S7" s="8" t="s">
        <v>99</v>
      </c>
      <c r="T7" s="8" t="s">
        <v>100</v>
      </c>
      <c r="U7" s="8" t="s">
        <v>66</v>
      </c>
      <c r="V7" s="8" t="s">
        <v>67</v>
      </c>
    </row>
    <row r="8" spans="1:22" ht="95.1" customHeight="1">
      <c r="A8" s="1" t="s">
        <v>101</v>
      </c>
      <c r="B8" s="1" t="s">
        <v>102</v>
      </c>
      <c r="C8" s="1" t="s">
        <v>103</v>
      </c>
      <c r="D8" s="1" t="s">
        <v>104</v>
      </c>
      <c r="E8" s="1" t="str">
        <f>INDEX(Requirements!$C$2:$C$28,MATCH(A8,Requirements!$A$2:$A$28,0))</f>
        <v>Medium</v>
      </c>
      <c r="F8" s="1" t="s">
        <v>105</v>
      </c>
      <c r="G8" s="1" t="s">
        <v>72</v>
      </c>
      <c r="H8" s="1" t="s">
        <v>28</v>
      </c>
      <c r="I8" s="1" t="s">
        <v>106</v>
      </c>
      <c r="J8" s="1" t="s">
        <v>30</v>
      </c>
      <c r="K8" s="1" t="inlineStr">
        <is>
          <t>15 Oct 2026; 668795a; PR17/CI pass. CONDITIONALLY READY: agreed M3 read/status increment, simulated staging only. PED Section 14.</t>
        </is>
      </c>
      <c r="L8" s="1" t="s">
        <v>31</v>
      </c>
      <c r="M8" s="5" t="s">
        <v>107</v>
      </c>
      <c r="N8" s="5" t="s">
        <v>108</v>
      </c>
      <c r="O8" s="5" t="s">
        <v>109</v>
      </c>
      <c r="P8" s="5" t="s">
        <v>35</v>
      </c>
      <c r="Q8" s="5" t="s">
        <v>110</v>
      </c>
      <c r="R8" s="5" t="str">
        <f>INDEX(Requirements!$B$2:$B$28,MATCH(A8,Requirements!$A$2:$A$28,0))</f>
        <v>Allow staff to search requests and filter by status, category, date and priority, and sort by date or priority.</v>
      </c>
      <c r="S8" s="8" t="s">
        <v>37</v>
      </c>
      <c r="T8" s="8" t="s">
        <v>111</v>
      </c>
      <c r="U8" s="8" t="s">
        <v>39</v>
      </c>
      <c r="V8" s="8" t="s">
        <v>40</v>
      </c>
    </row>
    <row r="9" spans="1:22" ht="95.1" customHeight="1">
      <c r="A9" s="10" t="s">
        <v>112</v>
      </c>
      <c r="B9" s="10" t="s">
        <v>113</v>
      </c>
      <c r="C9" s="10" t="s">
        <v>103</v>
      </c>
      <c r="D9" s="10" t="s">
        <v>114</v>
      </c>
      <c r="E9" s="10" t="str">
        <f>INDEX(Requirements!$C$2:$C$28,MATCH(A9,Requirements!$A$2:$A$28,0))</f>
        <v>High</v>
      </c>
      <c r="F9" s="10" t="s">
        <v>115</v>
      </c>
      <c r="G9" s="10" t="s">
        <v>57</v>
      </c>
      <c r="H9" s="10" t="inlineStr">
        <is>
          <t>src/CivicConnect.Web/: RequestQueryService; RequestAccessPolicy; EfRequestReader. M2 PR12; M3 PR14; published combined implementation 668795a (PR17).</t>
        </is>
      </c>
      <c r="I9" s="10" t="s">
        <v>116</v>
      </c>
      <c r="J9" s="10" t="inlineStr">
        <is>
          <t>M2 requirement/AC unchanged; CR-M3-C01 retained. Bianca/Michael review and PR17 approvals: 14 Oct. Published 668795a; CI verified; docs 15 Oct 2026.</t>
        </is>
      </c>
      <c r="K9" s="10" t="inlineStr">
        <is>
          <t>15 Oct 2026; 668795a; PR17/CI pass. CONDITIONALLY READY: agreed M3 read/status increment, simulated staging only. PED Section 14.</t>
        </is>
      </c>
      <c r="L9" s="10" t="s">
        <v>59</v>
      </c>
      <c r="M9" s="6" t="s">
        <v>60</v>
      </c>
      <c r="N9" s="6" t="s">
        <v>61</v>
      </c>
      <c r="O9" s="6" t="s">
        <v>62</v>
      </c>
      <c r="P9" s="6" t="s">
        <v>35</v>
      </c>
      <c r="Q9" s="6" t="s">
        <v>63</v>
      </c>
      <c r="R9" s="6" t="str">
        <f>INDEX(Requirements!$B$2:$B$28,MATCH(A9,Requirements!$A$2:$A$28,0))</f>
        <v>Allow authorised staff to view full request details.</v>
      </c>
      <c r="S9" s="8" t="s">
        <v>117</v>
      </c>
      <c r="T9" s="8" t="s">
        <v>118</v>
      </c>
      <c r="U9" s="8" t="s">
        <v>66</v>
      </c>
      <c r="V9" s="8" t="s">
        <v>67</v>
      </c>
    </row>
    <row r="10" spans="1:22" ht="95.1" customHeight="1">
      <c r="A10" s="1" t="s">
        <v>119</v>
      </c>
      <c r="B10" s="1" t="s">
        <v>120</v>
      </c>
      <c r="C10" s="1" t="s">
        <v>103</v>
      </c>
      <c r="D10" s="1" t="s">
        <v>121</v>
      </c>
      <c r="E10" s="1" t="str">
        <f>INDEX(Requirements!$C$2:$C$28,MATCH(A10,Requirements!$A$2:$A$28,0))</f>
        <v>High</v>
      </c>
      <c r="F10" s="1" t="s">
        <v>122</v>
      </c>
      <c r="G10" s="1" t="s">
        <v>123</v>
      </c>
      <c r="H10" s="1" t="s">
        <v>28</v>
      </c>
      <c r="I10" s="1" t="s">
        <v>124</v>
      </c>
      <c r="J10" s="1" t="s">
        <v>30</v>
      </c>
      <c r="K10" s="1" t="inlineStr">
        <is>
          <t>15 Oct 2026; 668795a; PR17/CI pass. CONDITIONALLY READY: agreed M3 read/status increment, simulated staging only. PED Section 14.</t>
        </is>
      </c>
      <c r="L10" s="1" t="s">
        <v>31</v>
      </c>
      <c r="M10" s="5" t="s">
        <v>48</v>
      </c>
      <c r="N10" s="5" t="s">
        <v>125</v>
      </c>
      <c r="O10" s="5" t="s">
        <v>126</v>
      </c>
      <c r="P10" s="5" t="s">
        <v>35</v>
      </c>
      <c r="Q10" s="5" t="s">
        <v>127</v>
      </c>
      <c r="R10" s="5" t="str">
        <f>INDEX(Requirements!$B$2:$B$28,MATCH(A10,Requirements!$A$2:$A$28,0))</f>
        <v>Allow authorised staff to assign a request or accept responsibility for it.</v>
      </c>
      <c r="S10" s="8" t="s">
        <v>37</v>
      </c>
      <c r="T10" s="8" t="s">
        <v>128</v>
      </c>
      <c r="U10" s="8" t="s">
        <v>39</v>
      </c>
      <c r="V10" s="8" t="s">
        <v>40</v>
      </c>
    </row>
    <row r="11" spans="1:22" ht="95.1" customHeight="1">
      <c r="A11" s="10" t="s">
        <v>129</v>
      </c>
      <c r="B11" s="10" t="s">
        <v>130</v>
      </c>
      <c r="C11" s="10" t="s">
        <v>103</v>
      </c>
      <c r="D11" s="10" t="s">
        <v>131</v>
      </c>
      <c r="E11" s="10" t="str">
        <f>INDEX(Requirements!$C$2:$C$28,MATCH(A11,Requirements!$A$2:$A$28,0))</f>
        <v>High</v>
      </c>
      <c r="F11" s="10" t="s">
        <v>132</v>
      </c>
      <c r="G11" s="10" t="s">
        <v>123</v>
      </c>
      <c r="H11" s="10" t="inlineStr">
        <is>
          <t>src/CivicConnect.Web/: StatusTransitionService; RequestStatusService; EfRequestStatusWriter. M2 PR12; M3 PR14; published combined implementation 668795a (PR17).</t>
        </is>
      </c>
      <c r="I11" s="10" t="s">
        <v>133</v>
      </c>
      <c r="J11" s="10" t="inlineStr">
        <is>
          <t>Original requirement/AC unchanged. CR-M3-C03: team M3 scope confirmed 15 Oct; read/status increment conditionally ready in controlled simulation. PR17 and combined CI complete.</t>
        </is>
      </c>
      <c r="K11" s="10" t="inlineStr">
        <is>
          <t>15 Oct 2026; 668795a; PR17/CI pass. CONDITIONALLY READY: agreed M3 read/status increment, simulated staging only. PED Section 14.</t>
        </is>
      </c>
      <c r="L11" s="10" t="s">
        <v>59</v>
      </c>
      <c r="M11" s="6" t="s">
        <v>134</v>
      </c>
      <c r="N11" s="6" t="s">
        <v>436</v>
      </c>
      <c r="O11" s="6" t="s">
        <v>86</v>
      </c>
      <c r="P11" s="6" t="s">
        <v>35</v>
      </c>
      <c r="Q11" s="6" t="s">
        <v>437</v>
      </c>
      <c r="R11" s="6" t="str">
        <f>INDEX(Requirements!$B$2:$B$28,MATCH(A11,Requirements!$A$2:$A$28,0))</f>
        <v>Allow request status changes only through the agreed lifecycle.</v>
      </c>
      <c r="S11" s="8" t="s">
        <v>135</v>
      </c>
      <c r="T11" s="8" t="inlineStr">
        <is>
          <t>Synthetic identities; simultaneous HTTP/audit coverage limited. Team accepts controlled M3 simulation; live accounts and full product remain incomplete for M4 finalisation.</t>
        </is>
      </c>
      <c r="U11" s="8" t="s">
        <v>66</v>
      </c>
      <c r="V11" s="8" t="s">
        <v>67</v>
      </c>
    </row>
    <row r="12" spans="1:22" ht="95.1" customHeight="1">
      <c r="A12" s="1" t="s">
        <v>137</v>
      </c>
      <c r="B12" s="1" t="s">
        <v>138</v>
      </c>
      <c r="C12" s="1" t="s">
        <v>103</v>
      </c>
      <c r="D12" s="1" t="s">
        <v>139</v>
      </c>
      <c r="E12" s="1" t="str">
        <f>INDEX(Requirements!$C$2:$C$28,MATCH(A12,Requirements!$A$2:$A$28,0))</f>
        <v>High</v>
      </c>
      <c r="F12" s="1" t="s">
        <v>140</v>
      </c>
      <c r="G12" s="1" t="s">
        <v>72</v>
      </c>
      <c r="H12" s="1" t="inlineStr">
        <is>
          <t>src/CivicConnect.Web/: DTO note filtering; EfRequestStatusWriter public feedback. M2 PR12; M3 PR14; published combined implementation 668795a (PR17).</t>
        </is>
      </c>
      <c r="I12" s="1" t="s">
        <v>141</v>
      </c>
      <c r="J12" s="1" t="inlineStr">
        <is>
          <t>M2 requirement/AC unchanged; CR-M3-C01 retained. Bianca/Michael review and PR17 approvals: 14 Oct. Published 668795a; CI verified; docs 15 Oct 2026.</t>
        </is>
      </c>
      <c r="K12" s="1" t="inlineStr">
        <is>
          <t>15 Oct 2026; 668795a; PR17/CI pass. CONDITIONALLY READY: agreed M3 read/status increment, simulated staging only. PED Section 14.</t>
        </is>
      </c>
      <c r="L12" s="1" t="s">
        <v>59</v>
      </c>
      <c r="M12" s="5" t="s">
        <v>142</v>
      </c>
      <c r="N12" s="5" t="s">
        <v>439</v>
      </c>
      <c r="O12" s="5" t="s">
        <v>86</v>
      </c>
      <c r="P12" s="5" t="s">
        <v>35</v>
      </c>
      <c r="Q12" s="5" t="s">
        <v>143</v>
      </c>
      <c r="R12" s="5" t="str">
        <f>INDEX(Requirements!$B$2:$B$28,MATCH(A12,Requirements!$A$2:$A$28,0))</f>
        <v>Allow staff to record comments, actions and resolution notes against a request.</v>
      </c>
      <c r="S12" s="8" t="s">
        <v>144</v>
      </c>
      <c r="T12" s="8" t="s">
        <v>145</v>
      </c>
      <c r="U12" s="8" t="s">
        <v>66</v>
      </c>
      <c r="V12" s="8" t="s">
        <v>67</v>
      </c>
    </row>
    <row r="13" spans="1:22" ht="95.1" customHeight="1">
      <c r="A13" s="10" t="s">
        <v>146</v>
      </c>
      <c r="B13" s="10" t="s">
        <v>147</v>
      </c>
      <c r="C13" s="10" t="s">
        <v>103</v>
      </c>
      <c r="D13" s="10" t="s">
        <v>148</v>
      </c>
      <c r="E13" s="10" t="str">
        <f>INDEX(Requirements!$C$2:$C$28,MATCH(A13,Requirements!$A$2:$A$28,0))</f>
        <v>High</v>
      </c>
      <c r="F13" s="10" t="s">
        <v>149</v>
      </c>
      <c r="G13" s="10" t="s">
        <v>123</v>
      </c>
      <c r="H13" s="10" t="inlineStr">
        <is>
          <t>src/CivicConnect.Web/: StatusTransitionService; RequestStatusService; status POST. M2 PR12; M3 PR14; published combined implementation 668795a (PR17).</t>
        </is>
      </c>
      <c r="I13" s="10" t="s">
        <v>150</v>
      </c>
      <c r="J13" s="10" t="inlineStr">
        <is>
          <t>M2 requirement/AC unchanged; CR-M3-C01 retained. Bianca/Michael review and PR17 approvals: 14 Oct. Published 668795a; CI verified; docs 15 Oct 2026.</t>
        </is>
      </c>
      <c r="K13" s="10" t="inlineStr">
        <is>
          <t>15 Oct 2026; 668795a; PR17/CI pass. CONDITIONALLY READY: agreed M3 read/status increment, simulated staging only. PED Section 14.</t>
        </is>
      </c>
      <c r="L13" s="10" t="s">
        <v>59</v>
      </c>
      <c r="M13" s="6" t="s">
        <v>85</v>
      </c>
      <c r="N13" s="6" t="s">
        <v>441</v>
      </c>
      <c r="O13" s="6" t="s">
        <v>86</v>
      </c>
      <c r="P13" s="6" t="s">
        <v>35</v>
      </c>
      <c r="Q13" s="6" t="s">
        <v>437</v>
      </c>
      <c r="R13" s="6" t="str">
        <f>INDEX(Requirements!$B$2:$B$28,MATCH(A13,Requirements!$A$2:$A$28,0))</f>
        <v>Allow authorised staff to resolve and close requests.</v>
      </c>
      <c r="S13" s="8" t="s">
        <v>151</v>
      </c>
      <c r="T13" s="8" t="s">
        <v>152</v>
      </c>
      <c r="U13" s="8" t="s">
        <v>66</v>
      </c>
      <c r="V13" s="8" t="s">
        <v>67</v>
      </c>
    </row>
    <row r="14" spans="1:22" ht="95.1" customHeight="1">
      <c r="A14" s="1" t="s">
        <v>153</v>
      </c>
      <c r="B14" s="1" t="s">
        <v>154</v>
      </c>
      <c r="C14" s="1" t="s">
        <v>155</v>
      </c>
      <c r="D14" s="1" t="s">
        <v>156</v>
      </c>
      <c r="E14" s="1" t="str">
        <f>INDEX(Requirements!$C$2:$C$28,MATCH(A14,Requirements!$A$2:$A$28,0))</f>
        <v>Medium</v>
      </c>
      <c r="F14" s="1" t="s">
        <v>157</v>
      </c>
      <c r="G14" s="1" t="s">
        <v>72</v>
      </c>
      <c r="H14" s="1" t="s">
        <v>28</v>
      </c>
      <c r="I14" s="1" t="s">
        <v>158</v>
      </c>
      <c r="J14" s="1" t="s">
        <v>30</v>
      </c>
      <c r="K14" s="1" t="inlineStr">
        <is>
          <t>15 Oct 2026; 668795a; PR17/CI pass. CONDITIONALLY READY: agreed M3 read/status increment, simulated staging only. PED Section 14.</t>
        </is>
      </c>
      <c r="L14" s="1" t="s">
        <v>31</v>
      </c>
      <c r="M14" s="5" t="s">
        <v>107</v>
      </c>
      <c r="N14" s="5" t="s">
        <v>159</v>
      </c>
      <c r="O14" s="5" t="s">
        <v>160</v>
      </c>
      <c r="P14" s="5" t="s">
        <v>35</v>
      </c>
      <c r="Q14" s="5" t="s">
        <v>161</v>
      </c>
      <c r="R14" s="5" t="str">
        <f>INDEX(Requirements!$B$2:$B$28,MATCH(A14,Requirements!$A$2:$A$28,0))</f>
        <v>Allow management to view counts of open, overdue, resolved and closed requests.</v>
      </c>
      <c r="S14" s="8" t="s">
        <v>37</v>
      </c>
      <c r="T14" s="8" t="s">
        <v>162</v>
      </c>
      <c r="U14" s="8" t="s">
        <v>39</v>
      </c>
      <c r="V14" s="8" t="s">
        <v>40</v>
      </c>
    </row>
    <row r="15" spans="1:22" ht="95.1" customHeight="1">
      <c r="A15" s="10" t="s">
        <v>163</v>
      </c>
      <c r="B15" s="10" t="s">
        <v>164</v>
      </c>
      <c r="C15" s="10" t="s">
        <v>165</v>
      </c>
      <c r="D15" s="10" t="s">
        <v>166</v>
      </c>
      <c r="E15" s="10" t="str">
        <f>INDEX(Requirements!$C$2:$C$28,MATCH(A15,Requirements!$A$2:$A$28,0))</f>
        <v>Medium</v>
      </c>
      <c r="F15" s="10" t="s">
        <v>167</v>
      </c>
      <c r="G15" s="10" t="s">
        <v>72</v>
      </c>
      <c r="H15" s="10" t="s">
        <v>28</v>
      </c>
      <c r="I15" s="10" t="s">
        <v>168</v>
      </c>
      <c r="J15" s="10" t="s">
        <v>30</v>
      </c>
      <c r="K15" s="10" t="inlineStr">
        <is>
          <t>15 Oct 2026; 668795a; PR17/CI pass. CONDITIONALLY READY: agreed M3 read/status increment, simulated staging only. PED Section 14.</t>
        </is>
      </c>
      <c r="L15" s="10" t="s">
        <v>31</v>
      </c>
      <c r="M15" s="6" t="s">
        <v>107</v>
      </c>
      <c r="N15" s="6" t="s">
        <v>169</v>
      </c>
      <c r="O15" s="6" t="s">
        <v>170</v>
      </c>
      <c r="P15" s="6" t="s">
        <v>35</v>
      </c>
      <c r="Q15" s="6" t="s">
        <v>161</v>
      </c>
      <c r="R15" s="6" t="str">
        <f>INDEX(Requirements!$B$2:$B$28,MATCH(A15,Requirements!$A$2:$A$28,0))</f>
        <v>Allow management to view requests and counts by category and status.</v>
      </c>
      <c r="S15" s="8" t="s">
        <v>37</v>
      </c>
      <c r="T15" s="8" t="s">
        <v>171</v>
      </c>
      <c r="U15" s="8" t="s">
        <v>39</v>
      </c>
      <c r="V15" s="8" t="s">
        <v>40</v>
      </c>
    </row>
    <row r="16" spans="1:22" ht="95.1" customHeight="1">
      <c r="A16" s="1" t="s">
        <v>172</v>
      </c>
      <c r="B16" s="1" t="s">
        <v>173</v>
      </c>
      <c r="C16" s="1" t="s">
        <v>174</v>
      </c>
      <c r="D16" s="1" t="s">
        <v>175</v>
      </c>
      <c r="E16" s="1" t="str">
        <f>INDEX(Requirements!$C$2:$C$28,MATCH(A16,Requirements!$A$2:$A$28,0))</f>
        <v>High</v>
      </c>
      <c r="F16" s="1" t="s">
        <v>176</v>
      </c>
      <c r="G16" s="1" t="s">
        <v>72</v>
      </c>
      <c r="H16" s="1" t="inlineStr">
        <is>
          <t>src/CivicConnect.Web/: RequestStatusHistoryEntity; EfRequestStatusWriter. M2 PR12; M3 PR14; published combined implementation 668795a (PR17).</t>
        </is>
      </c>
      <c r="I16" s="1" t="s">
        <v>177</v>
      </c>
      <c r="J16" s="1" t="inlineStr">
        <is>
          <t>M2 requirement/AC unchanged; CR-M3-C01 retained. Bianca/Michael review and PR17 approvals: 14 Oct. Published 668795a; CI verified; docs 15 Oct 2026.</t>
        </is>
      </c>
      <c r="K16" s="1" t="inlineStr">
        <is>
          <t>15 Oct 2026; 668795a; PR17/CI pass. CONDITIONALLY READY: agreed M3 read/status increment, simulated staging only. PED Section 14.</t>
        </is>
      </c>
      <c r="L16" s="1" t="s">
        <v>59</v>
      </c>
      <c r="M16" s="5" t="s">
        <v>85</v>
      </c>
      <c r="N16" s="5" t="s">
        <v>178</v>
      </c>
      <c r="O16" s="5" t="s">
        <v>86</v>
      </c>
      <c r="P16" s="5" t="s">
        <v>35</v>
      </c>
      <c r="Q16" s="5" t="s">
        <v>179</v>
      </c>
      <c r="R16" s="5" t="str">
        <f>INDEX(Requirements!$B$2:$B$28,MATCH(A16,Requirements!$A$2:$A$28,0))</f>
        <v>Keep request history to support accountability and basic performance reporting.</v>
      </c>
      <c r="S16" s="8" t="s">
        <v>180</v>
      </c>
      <c r="T16" s="8" t="s">
        <v>181</v>
      </c>
      <c r="U16" s="8" t="s">
        <v>66</v>
      </c>
      <c r="V16" s="8" t="s">
        <v>67</v>
      </c>
    </row>
    <row r="17" spans="1:22" ht="95.1" customHeight="1">
      <c r="A17" s="10" t="s">
        <v>182</v>
      </c>
      <c r="B17" s="10" t="s">
        <v>183</v>
      </c>
      <c r="C17" s="10" t="s">
        <v>184</v>
      </c>
      <c r="D17" s="10" t="s">
        <v>185</v>
      </c>
      <c r="E17" s="10" t="str">
        <f>INDEX(Requirements!$C$2:$C$28,MATCH(A17,Requirements!$A$2:$A$28,0))</f>
        <v>High</v>
      </c>
      <c r="F17" s="10" t="s">
        <v>186</v>
      </c>
      <c r="G17" s="10" t="s">
        <v>57</v>
      </c>
      <c r="H17" s="10" t="inlineStr">
        <is>
          <t>src/CivicConnect.Web/: Cookie authentication; central action/read policy. M2 PR12; M3 PR14; published combined implementation 668795a (PR17).</t>
        </is>
      </c>
      <c r="I17" s="10" t="s">
        <v>187</v>
      </c>
      <c r="J17" s="10" t="inlineStr">
        <is>
          <t>M2 requirement/AC unchanged; CR-M3-C01 retained. Bianca/Michael review and PR17 approvals: 14 Oct. Published 668795a; CI verified; docs 15 Oct 2026.</t>
        </is>
      </c>
      <c r="K17" s="10" t="inlineStr">
        <is>
          <t>15 Oct 2026; 668795a; PR17/CI pass. CONDITIONALLY READY: agreed M3 read/status increment, simulated staging only. PED Section 14.</t>
        </is>
      </c>
      <c r="L17" s="10" t="s">
        <v>59</v>
      </c>
      <c r="M17" s="6" t="s">
        <v>60</v>
      </c>
      <c r="N17" s="6" t="s">
        <v>188</v>
      </c>
      <c r="O17" s="6" t="s">
        <v>189</v>
      </c>
      <c r="P17" s="6" t="s">
        <v>35</v>
      </c>
      <c r="Q17" s="6" t="s">
        <v>190</v>
      </c>
      <c r="R17" s="6" t="str">
        <f>INDEX(Requirements!$B$2:$B$28,MATCH(A17,Requirements!$A$2:$A$28,0))</f>
        <v>Authenticate users and apply Requester, Staff and Management permissions.</v>
      </c>
      <c r="S17" s="8" t="s">
        <v>191</v>
      </c>
      <c r="T17" s="8" t="s">
        <v>192</v>
      </c>
      <c r="U17" s="8" t="s">
        <v>66</v>
      </c>
      <c r="V17" s="8" t="s">
        <v>67</v>
      </c>
    </row>
    <row r="18" spans="1:22" ht="95.1" customHeight="1">
      <c r="A18" s="1" t="s">
        <v>193</v>
      </c>
      <c r="B18" s="1" t="s">
        <v>194</v>
      </c>
      <c r="C18" s="1" t="s">
        <v>195</v>
      </c>
      <c r="D18" s="1" t="s">
        <v>196</v>
      </c>
      <c r="E18" s="1" t="str">
        <f>INDEX(Requirements!$C$2:$C$28,MATCH(A18,Requirements!$A$2:$A$28,0))</f>
        <v>Medium</v>
      </c>
      <c r="F18" s="1" t="s">
        <v>197</v>
      </c>
      <c r="G18" s="1" t="s">
        <v>72</v>
      </c>
      <c r="H18" s="1" t="s">
        <v>28</v>
      </c>
      <c r="I18" s="1" t="s">
        <v>198</v>
      </c>
      <c r="J18" s="1" t="s">
        <v>30</v>
      </c>
      <c r="K18" s="1" t="inlineStr">
        <is>
          <t>15 Oct 2026; 668795a; PR17/CI pass. CONDITIONALLY READY: agreed M3 read/status increment, simulated staging only. PED Section 14.</t>
        </is>
      </c>
      <c r="L18" s="1" t="s">
        <v>31</v>
      </c>
      <c r="M18" s="5" t="s">
        <v>85</v>
      </c>
      <c r="N18" s="5" t="s">
        <v>199</v>
      </c>
      <c r="O18" s="5" t="s">
        <v>200</v>
      </c>
      <c r="P18" s="5" t="s">
        <v>35</v>
      </c>
      <c r="Q18" s="5" t="s">
        <v>201</v>
      </c>
      <c r="R18" s="5" t="str">
        <f>INDEX(Requirements!$B$2:$B$28,MATCH(A18,Requirements!$A$2:$A$28,0))</f>
        <v>Record a controlled priority for each request and allow authorised staff to change it.</v>
      </c>
      <c r="S18" s="8" t="s">
        <v>37</v>
      </c>
      <c r="T18" s="8" t="s">
        <v>202</v>
      </c>
      <c r="U18" s="8" t="s">
        <v>39</v>
      </c>
      <c r="V18" s="8" t="s">
        <v>40</v>
      </c>
    </row>
    <row r="19" spans="1:22" ht="95.1" customHeight="1">
      <c r="A19" s="10" t="s">
        <v>203</v>
      </c>
      <c r="B19" s="10" t="s">
        <v>204</v>
      </c>
      <c r="C19" s="10" t="s">
        <v>205</v>
      </c>
      <c r="D19" s="10" t="s">
        <v>206</v>
      </c>
      <c r="E19" s="10" t="str">
        <f>INDEX(Requirements!$C$2:$C$28,MATCH(A19,Requirements!$A$2:$A$28,0))</f>
        <v>Medium</v>
      </c>
      <c r="F19" s="10" t="s">
        <v>207</v>
      </c>
      <c r="G19" s="10" t="s">
        <v>123</v>
      </c>
      <c r="H19" s="10" t="s">
        <v>28</v>
      </c>
      <c r="I19" s="10" t="s">
        <v>208</v>
      </c>
      <c r="J19" s="10" t="s">
        <v>30</v>
      </c>
      <c r="K19" s="10" t="inlineStr">
        <is>
          <t>15 Oct 2026; 668795a; PR17/CI pass. CONDITIONALLY READY: agreed M3 read/status increment, simulated staging only. PED Section 14.</t>
        </is>
      </c>
      <c r="L19" s="10" t="s">
        <v>31</v>
      </c>
      <c r="M19" s="6" t="s">
        <v>32</v>
      </c>
      <c r="N19" s="6" t="s">
        <v>209</v>
      </c>
      <c r="O19" s="6" t="s">
        <v>210</v>
      </c>
      <c r="P19" s="6" t="s">
        <v>35</v>
      </c>
      <c r="Q19" s="6" t="s">
        <v>179</v>
      </c>
      <c r="R19" s="6" t="str">
        <f>INDEX(Requirements!$B$2:$B$28,MATCH(A19,Requirements!$A$2:$A$28,0))</f>
        <v>Allow staff to record due dates and identify overdue requests.</v>
      </c>
      <c r="S19" s="8" t="s">
        <v>37</v>
      </c>
      <c r="T19" s="8" t="s">
        <v>211</v>
      </c>
      <c r="U19" s="8" t="s">
        <v>39</v>
      </c>
      <c r="V19" s="8" t="s">
        <v>40</v>
      </c>
    </row>
    <row r="20" spans="1:22" ht="95.1" customHeight="1">
      <c r="A20" s="1" t="s">
        <v>212</v>
      </c>
      <c r="B20" s="1" t="s">
        <v>213</v>
      </c>
      <c r="C20" s="1" t="s">
        <v>214</v>
      </c>
      <c r="D20" s="1" t="s">
        <v>215</v>
      </c>
      <c r="E20" s="1" t="str">
        <f>INDEX(Requirements!$C$2:$C$28,MATCH(A20,Requirements!$A$2:$A$28,0))</f>
        <v>High</v>
      </c>
      <c r="F20" s="1" t="s">
        <v>216</v>
      </c>
      <c r="G20" s="1" t="s">
        <v>57</v>
      </c>
      <c r="H20" s="1" t="inlineStr">
        <is>
          <t>src/CivicConnect.Web/: RequestAccessPolicy; filtered DTO; versioned status command. M2 PR12; M3 PR14; published combined implementation 668795a (PR17).</t>
        </is>
      </c>
      <c r="I20" s="1" t="s">
        <v>217</v>
      </c>
      <c r="J20" s="1" t="inlineStr">
        <is>
          <t>M2 requirement/AC unchanged; CR-M3-C01 retained. Bianca/Michael review and PR17 approvals: 14 Oct. Published 668795a; CI verified; docs 15 Oct 2026.</t>
        </is>
      </c>
      <c r="K20" s="1" t="inlineStr">
        <is>
          <t>15 Oct 2026; 668795a; PR17/CI pass. CONDITIONALLY READY: agreed M3 read/status increment, simulated staging only. PED Section 14.</t>
        </is>
      </c>
      <c r="L20" s="1" t="s">
        <v>59</v>
      </c>
      <c r="M20" s="5" t="s">
        <v>60</v>
      </c>
      <c r="N20" s="5" t="s">
        <v>218</v>
      </c>
      <c r="O20" s="5" t="s">
        <v>62</v>
      </c>
      <c r="P20" s="5" t="s">
        <v>35</v>
      </c>
      <c r="Q20" s="5" t="s">
        <v>219</v>
      </c>
      <c r="R20" s="5" t="str">
        <f>INDEX(Requirements!$B$2:$B$28,MATCH(A20,Requirements!$A$2:$A$28,0))</f>
        <v>Protect requests using role and record-level access controls.</v>
      </c>
      <c r="S20" s="8" t="s">
        <v>220</v>
      </c>
      <c r="T20" s="8" t="s">
        <v>221</v>
      </c>
      <c r="U20" s="8" t="s">
        <v>66</v>
      </c>
      <c r="V20" s="8" t="s">
        <v>67</v>
      </c>
    </row>
    <row r="21" spans="1:22" ht="95.1" customHeight="1">
      <c r="A21" s="10" t="s">
        <v>222</v>
      </c>
      <c r="B21" s="10" t="s">
        <v>223</v>
      </c>
      <c r="C21" s="10" t="s">
        <v>224</v>
      </c>
      <c r="D21" s="10" t="s">
        <v>225</v>
      </c>
      <c r="E21" s="10" t="str">
        <f>INDEX(Requirements!$C$2:$C$28,MATCH(A21,Requirements!$A$2:$A$28,0))</f>
        <v>Medium</v>
      </c>
      <c r="F21" s="10" t="s">
        <v>226</v>
      </c>
      <c r="G21" s="10" t="s">
        <v>227</v>
      </c>
      <c r="H21" s="10" t="inlineStr">
        <is>
          <t>tests/CivicConnect.PerformanceTests/Program.cs; EfRequestReader/PostgreSQL. PR16 performance merged into combined published implementation 668795a through PR17.</t>
        </is>
      </c>
      <c r="I21" s="10" t="s">
        <v>421</v>
      </c>
      <c r="J21" s="10" t="inlineStr">
        <is>
          <t>M2 acceptance criteria unchanged. Original PERF-01 second run confirmed 14 Oct; combined main CI passes on 668795a. Full pilot acceptance remains unverified.</t>
        </is>
      </c>
      <c r="K21" s="10" t="inlineStr">
        <is>
          <t>15 Oct 2026; 668795a; PR17/CI pass. CONDITIONALLY READY: agreed M3 read/status increment, simulated staging only. PED Section 14.</t>
        </is>
      </c>
      <c r="L21" s="10" t="s">
        <v>59</v>
      </c>
      <c r="M21" s="6" t="s">
        <v>228</v>
      </c>
      <c r="N21" s="6" t="s">
        <v>422</v>
      </c>
      <c r="O21" s="6" t="s">
        <v>423</v>
      </c>
      <c r="P21" s="6" t="s">
        <v>35</v>
      </c>
      <c r="Q21" s="6" t="s">
        <v>424</v>
      </c>
      <c r="R21" s="6" t="str">
        <f>INDEX(Requirements!$B$2:$B$28,MATCH(A21,Requirements!$A$2:$A$28,0))</f>
        <v>Complete at least 95% of submissions, status views, staff searches and management summaries within 3 seconds at pilot load, with at most 1% failures.</v>
      </c>
      <c r="S21" s="8" t="s">
        <v>425</v>
      </c>
      <c r="T21" s="8" t="s">
        <v>426</v>
      </c>
      <c r="U21" s="8" t="inlineStr">
        <is>
          <t>PERF-01: docs/evidence/m3-performance-results.txt and m3-performance-run-confirmation.md; original execution SHA unconfirmed. Combined main CI on 668795a: https://github.com/Michael-Ellis819/Virtual_Group_K_SEN381_Project/actions/runs/38594557024 (all four projects; separate from original human benchmark).</t>
        </is>
      </c>
      <c r="V21" s="8" t="s">
        <v>427</v>
      </c>
    </row>
    <row r="22" spans="1:22" ht="95.1" customHeight="1">
      <c r="A22" s="1" t="s">
        <v>229</v>
      </c>
      <c r="B22" s="1" t="s">
        <v>230</v>
      </c>
      <c r="C22" s="1" t="s">
        <v>231</v>
      </c>
      <c r="D22" s="1" t="s">
        <v>232</v>
      </c>
      <c r="E22" s="1" t="str">
        <f>INDEX(Requirements!$C$2:$C$28,MATCH(A22,Requirements!$A$2:$A$28,0))</f>
        <v>High</v>
      </c>
      <c r="F22" s="1" t="s">
        <v>233</v>
      </c>
      <c r="G22" s="1" t="s">
        <v>83</v>
      </c>
      <c r="H22" s="1" t="inlineStr">
        <is>
          <t>src/CivicConnect.Web/: EF transaction; concurrency version; status coordinator. M2 PR12; M3 PR14; published combined implementation 668795a (PR17).</t>
        </is>
      </c>
      <c r="I22" s="1" t="s">
        <v>234</v>
      </c>
      <c r="J22" s="1" t="inlineStr">
        <is>
          <t>M2 requirement/AC unchanged; CR-M3-C01 retained. Bianca/Michael review and PR17 approvals: 14 Oct. Published 668795a; CI verified; docs 15 Oct 2026.</t>
        </is>
      </c>
      <c r="K22" s="1" t="inlineStr">
        <is>
          <t>15 Oct 2026; 668795a; PR17/CI pass. CONDITIONALLY READY: agreed M3 read/status increment, simulated staging only. PED Section 14.</t>
        </is>
      </c>
      <c r="L22" s="1" t="s">
        <v>59</v>
      </c>
      <c r="M22" s="5" t="s">
        <v>48</v>
      </c>
      <c r="N22" s="5" t="s">
        <v>449</v>
      </c>
      <c r="O22" s="5" t="s">
        <v>86</v>
      </c>
      <c r="P22" s="5" t="s">
        <v>35</v>
      </c>
      <c r="Q22" s="5" t="s">
        <v>127</v>
      </c>
      <c r="R22" s="5" t="str">
        <f>INDEX(Requirements!$B$2:$B$28,MATCH(A22,Requirements!$A$2:$A$28,0))</f>
        <v>Save request data and its history together without partial updates.</v>
      </c>
      <c r="S22" s="8" t="s">
        <v>235</v>
      </c>
      <c r="T22" s="8" t="s">
        <v>236</v>
      </c>
      <c r="U22" s="8" t="s">
        <v>66</v>
      </c>
      <c r="V22" s="8" t="s">
        <v>67</v>
      </c>
    </row>
    <row r="23" spans="1:22" ht="95.1" customHeight="1">
      <c r="A23" s="10" t="s">
        <v>237</v>
      </c>
      <c r="B23" s="10" t="s">
        <v>238</v>
      </c>
      <c r="C23" s="10" t="s">
        <v>239</v>
      </c>
      <c r="D23" s="10" t="s">
        <v>240</v>
      </c>
      <c r="E23" s="10" t="str">
        <f>INDEX(Requirements!$C$2:$C$28,MATCH(A23,Requirements!$A$2:$A$28,0))</f>
        <v>Medium</v>
      </c>
      <c r="F23" s="10" t="s">
        <v>241</v>
      </c>
      <c r="G23" s="10" t="s">
        <v>242</v>
      </c>
      <c r="H23" s="10" t="s">
        <v>28</v>
      </c>
      <c r="I23" s="10" t="s">
        <v>243</v>
      </c>
      <c r="J23" s="10" t="s">
        <v>30</v>
      </c>
      <c r="K23" s="10" t="inlineStr">
        <is>
          <t>15 Oct 2026; 668795a; PR17/CI pass. CONDITIONALLY READY: agreed M3 read/status increment, simulated staging only. PED Section 14.</t>
        </is>
      </c>
      <c r="L23" s="10" t="s">
        <v>31</v>
      </c>
      <c r="M23" s="6" t="s">
        <v>244</v>
      </c>
      <c r="N23" s="6" t="s">
        <v>245</v>
      </c>
      <c r="O23" s="6" t="s">
        <v>246</v>
      </c>
      <c r="P23" s="6" t="s">
        <v>35</v>
      </c>
      <c r="Q23" s="6" t="s">
        <v>247</v>
      </c>
      <c r="R23" s="6" t="str">
        <f>INDEX(Requirements!$B$2:$B$28,MATCH(A23,Requirements!$A$2:$A$28,0))</f>
        <v>Make request submission and status checking easy for users with basic digital skills.</v>
      </c>
      <c r="S23" s="8" t="s">
        <v>37</v>
      </c>
      <c r="T23" s="8" t="s">
        <v>248</v>
      </c>
      <c r="U23" s="8" t="s">
        <v>39</v>
      </c>
      <c r="V23" s="8" t="s">
        <v>40</v>
      </c>
    </row>
    <row r="24" spans="1:22" ht="95.1" customHeight="1">
      <c r="A24" s="1" t="s">
        <v>249</v>
      </c>
      <c r="B24" s="1" t="s">
        <v>250</v>
      </c>
      <c r="C24" s="1" t="s">
        <v>251</v>
      </c>
      <c r="D24" s="1" t="s">
        <v>252</v>
      </c>
      <c r="E24" s="1" t="str">
        <f>INDEX(Requirements!$C$2:$C$28,MATCH(A24,Requirements!$A$2:$A$28,0))</f>
        <v>Medium</v>
      </c>
      <c r="F24" s="1" t="s">
        <v>253</v>
      </c>
      <c r="G24" s="1" t="s">
        <v>242</v>
      </c>
      <c r="H24" s="1" t="s">
        <v>28</v>
      </c>
      <c r="I24" s="1" t="s">
        <v>254</v>
      </c>
      <c r="J24" s="1" t="s">
        <v>30</v>
      </c>
      <c r="K24" s="1" t="inlineStr">
        <is>
          <t>15 Oct 2026; 668795a; PR17/CI pass. CONDITIONALLY READY: agreed M3 read/status increment, simulated staging only. PED Section 14.</t>
        </is>
      </c>
      <c r="L24" s="1" t="s">
        <v>31</v>
      </c>
      <c r="M24" s="5" t="s">
        <v>255</v>
      </c>
      <c r="N24" s="5" t="s">
        <v>256</v>
      </c>
      <c r="O24" s="5" t="s">
        <v>246</v>
      </c>
      <c r="P24" s="5" t="s">
        <v>35</v>
      </c>
      <c r="Q24" s="5" t="s">
        <v>247</v>
      </c>
      <c r="R24" s="5" t="str">
        <f>INDEX(Requirements!$B$2:$B$28,MATCH(A24,Requirements!$A$2:$A$28,0))</f>
        <v>Provide a responsive web interface that supports keyboard use.</v>
      </c>
      <c r="S24" s="8" t="s">
        <v>37</v>
      </c>
      <c r="T24" s="8" t="s">
        <v>257</v>
      </c>
      <c r="U24" s="8" t="s">
        <v>39</v>
      </c>
      <c r="V24" s="8" t="s">
        <v>40</v>
      </c>
    </row>
    <row r="25" spans="1:22" ht="95.1" customHeight="1">
      <c r="A25" s="10" t="s">
        <v>258</v>
      </c>
      <c r="B25" s="10" t="s">
        <v>259</v>
      </c>
      <c r="C25" s="10" t="s">
        <v>260</v>
      </c>
      <c r="D25" s="10" t="s">
        <v>261</v>
      </c>
      <c r="E25" s="10" t="str">
        <f>INDEX(Requirements!$C$2:$C$28,MATCH(A25,Requirements!$A$2:$A$28,0))</f>
        <v>High</v>
      </c>
      <c r="F25" s="10" t="s">
        <v>262</v>
      </c>
      <c r="G25" s="10" t="s">
        <v>263</v>
      </c>
      <c r="H25" s="10" t="inlineStr">
        <is>
          <t>src/CivicConnect.Web/: Secure cookies; temporary HTTPS test host. M2 PR12; M3 PR14; published combined implementation 668795a (PR17).</t>
        </is>
      </c>
      <c r="I25" s="10" t="s">
        <v>264</v>
      </c>
      <c r="J25" s="10" t="inlineStr">
        <is>
          <t>M2 requirement/AC unchanged; CR-M3-C01 retained. Bianca/Michael review and PR17 approvals: 14 Oct. Published 668795a; CI verified; docs 15 Oct 2026.</t>
        </is>
      </c>
      <c r="K25" s="10" t="inlineStr">
        <is>
          <t>15 Oct 2026; 668795a; PR17/CI pass. CONDITIONALLY READY: agreed M3 read/status increment, simulated staging only. PED Section 14.</t>
        </is>
      </c>
      <c r="L25" s="10" t="s">
        <v>59</v>
      </c>
      <c r="M25" s="6" t="s">
        <v>265</v>
      </c>
      <c r="N25" s="6" t="s">
        <v>266</v>
      </c>
      <c r="O25" s="6" t="s">
        <v>267</v>
      </c>
      <c r="P25" s="6" t="s">
        <v>35</v>
      </c>
      <c r="Q25" s="6" t="s">
        <v>268</v>
      </c>
      <c r="R25" s="6" t="str">
        <f>INDEX(Requirements!$B$2:$B$28,MATCH(A25,Requirements!$A$2:$A$28,0))</f>
        <v>Use HTTPS to protect authentication and request data in deployed environments.</v>
      </c>
      <c r="S25" s="8" t="s">
        <v>269</v>
      </c>
      <c r="T25" s="8" t="s">
        <v>270</v>
      </c>
      <c r="U25" s="8" t="s">
        <v>66</v>
      </c>
      <c r="V25" s="8" t="s">
        <v>67</v>
      </c>
    </row>
    <row r="26" spans="1:22" ht="95.1" customHeight="1">
      <c r="A26" s="1" t="s">
        <v>271</v>
      </c>
      <c r="B26" s="1" t="s">
        <v>272</v>
      </c>
      <c r="C26" s="1" t="s">
        <v>273</v>
      </c>
      <c r="D26" s="1" t="s">
        <v>274</v>
      </c>
      <c r="E26" s="1" t="str">
        <f>INDEX(Requirements!$C$2:$C$28,MATCH(A26,Requirements!$A$2:$A$28,0))</f>
        <v>Medium</v>
      </c>
      <c r="F26" s="1" t="s">
        <v>275</v>
      </c>
      <c r="G26" s="1" t="s">
        <v>46</v>
      </c>
      <c r="H26" s="1" t="s">
        <v>28</v>
      </c>
      <c r="I26" s="1" t="s">
        <v>276</v>
      </c>
      <c r="J26" s="1" t="s">
        <v>30</v>
      </c>
      <c r="K26" s="1" t="inlineStr">
        <is>
          <t>15 Oct 2026; 668795a; PR17/CI pass. CONDITIONALLY READY: agreed M3 read/status increment, simulated staging only. PED Section 14.</t>
        </is>
      </c>
      <c r="L26" s="1" t="s">
        <v>31</v>
      </c>
      <c r="M26" s="5" t="s">
        <v>277</v>
      </c>
      <c r="N26" s="5" t="s">
        <v>278</v>
      </c>
      <c r="O26" s="5" t="s">
        <v>279</v>
      </c>
      <c r="P26" s="5" t="s">
        <v>35</v>
      </c>
      <c r="Q26" s="5" t="s">
        <v>280</v>
      </c>
      <c r="R26" s="5" t="str">
        <f>INDEX(Requirements!$B$2:$B$28,MATCH(A26,Requirements!$A$2:$A$28,0))</f>
        <v>Support recovery with no more than 24 hours of lost data and restoration within four hours.</v>
      </c>
      <c r="S26" s="8" t="s">
        <v>37</v>
      </c>
      <c r="T26" s="8" t="s">
        <v>281</v>
      </c>
      <c r="U26" s="8" t="s">
        <v>39</v>
      </c>
      <c r="V26" s="8" t="s">
        <v>40</v>
      </c>
    </row>
    <row r="27" spans="1:22" ht="95.1" customHeight="1">
      <c r="A27" s="10" t="s">
        <v>282</v>
      </c>
      <c r="B27" s="10" t="s">
        <v>283</v>
      </c>
      <c r="C27" s="10" t="s">
        <v>284</v>
      </c>
      <c r="D27" s="10" t="s">
        <v>285</v>
      </c>
      <c r="E27" s="10" t="str">
        <f>INDEX(Requirements!$C$2:$C$28,MATCH(A27,Requirements!$A$2:$A$28,0))</f>
        <v>High</v>
      </c>
      <c r="F27" s="10" t="s">
        <v>286</v>
      </c>
      <c r="G27" s="10" t="s">
        <v>287</v>
      </c>
      <c r="H27" s="10" t="inlineStr">
        <is>
          <t>src/CivicConnect.Web/: Generic HTTP exception boundary. M2 PR12; M3 PR14; published combined implementation 668795a (PR17).</t>
        </is>
      </c>
      <c r="I27" s="10" t="s">
        <v>288</v>
      </c>
      <c r="J27" s="10" t="inlineStr">
        <is>
          <t>M2 requirement/AC unchanged; CR-M3-C01 retained. Bianca/Michael review and PR17 approvals: 14 Oct. Published 668795a; CI verified; docs 15 Oct 2026.</t>
        </is>
      </c>
      <c r="K27" s="10" t="inlineStr">
        <is>
          <t>15 Oct 2026; 668795a; PR17/CI pass. CONDITIONALLY READY: agreed M3 read/status increment, simulated staging only. PED Section 14.</t>
        </is>
      </c>
      <c r="L27" s="10" t="s">
        <v>59</v>
      </c>
      <c r="M27" s="6" t="s">
        <v>289</v>
      </c>
      <c r="N27" s="6" t="s">
        <v>290</v>
      </c>
      <c r="O27" s="6" t="s">
        <v>291</v>
      </c>
      <c r="P27" s="6" t="s">
        <v>35</v>
      </c>
      <c r="Q27" s="6" t="s">
        <v>292</v>
      </c>
      <c r="R27" s="6" t="str">
        <f>INDEX(Requirements!$B$2:$B$28,MATCH(A27,Requirements!$A$2:$A$28,0))</f>
        <v>Keep sensitive information out of application logs and error messages.</v>
      </c>
      <c r="S27" s="8" t="s">
        <v>293</v>
      </c>
      <c r="T27" s="8" t="s">
        <v>294</v>
      </c>
      <c r="U27" s="8" t="s">
        <v>66</v>
      </c>
      <c r="V27" s="8" t="s">
        <v>67</v>
      </c>
    </row>
    <row r="28" spans="1:22" ht="95.1" customHeight="1">
      <c r="A28" s="1" t="s">
        <v>295</v>
      </c>
      <c r="B28" s="1" t="s">
        <v>296</v>
      </c>
      <c r="C28" s="1" t="s">
        <v>297</v>
      </c>
      <c r="D28" s="1" t="s">
        <v>298</v>
      </c>
      <c r="E28" s="1" t="str">
        <f>INDEX(Requirements!$C$2:$C$28,MATCH(A28,Requirements!$A$2:$A$28,0))</f>
        <v>High</v>
      </c>
      <c r="F28" s="1" t="s">
        <v>299</v>
      </c>
      <c r="G28" s="1" t="s">
        <v>300</v>
      </c>
      <c r="H28" s="1" t="inlineStr">
        <is>
          <t>src/CivicConnect.Web/: Injected reader/policy/writer; isolated executable suites. M2 PR12; M3 PR14; published combined implementation 668795a (PR17).</t>
        </is>
      </c>
      <c r="I28" s="1" t="s">
        <v>301</v>
      </c>
      <c r="J28" s="1" t="inlineStr">
        <is>
          <t>M2 requirement/AC unchanged; CR-M3-C01 retained. Bianca/Michael review and PR17 approvals: 14 Oct. Published 668795a; CI verified; docs 15 Oct 2026.</t>
        </is>
      </c>
      <c r="K28" s="1" t="inlineStr">
        <is>
          <t>15 Oct 2026; 668795a; PR17/CI pass. CONDITIONALLY READY: agreed M3 read/status increment, simulated staging only. PED Section 14.</t>
        </is>
      </c>
      <c r="L28" s="1" t="s">
        <v>59</v>
      </c>
      <c r="M28" s="5" t="s">
        <v>302</v>
      </c>
      <c r="N28" s="5" t="s">
        <v>303</v>
      </c>
      <c r="O28" s="5" t="s">
        <v>304</v>
      </c>
      <c r="P28" s="5" t="s">
        <v>35</v>
      </c>
      <c r="Q28" s="5" t="inlineStr">
        <is>
          <t>R-009; R-038; R-047 closed for tested lifecycle; R-053 closed for current combined CI coverage (run 38594557024).</t>
        </is>
      </c>
      <c r="R28" s="5" t="str">
        <f>INDEX(Requirements!$B$2:$B$28,MATCH(A28,Requirements!$A$2:$A$28,0))</f>
        <v>Allow core request rules to be tested with controlled data in a separate test environment.</v>
      </c>
      <c r="S28" s="8" t="s">
        <v>305</v>
      </c>
      <c r="T28" s="8" t="inlineStr">
        <is>
          <t>Submission/assignment/reporting and real login remain original requirements planned for M4 finalisation; current evidence covers the agreed M3 read/status increment.</t>
        </is>
      </c>
      <c r="U28" s="8" t="inlineStr">
        <is>
          <t>Personal run: docs/evidence/m3/personal-20261013-181846/; IDs in I28. Combined main CI: https://github.com/Michael-Ellis819/Virtual_Group_K_SEN381_Project/actions/runs/38594557024 on 668795a; regression/database/M3/performance, analysis and dependency checks pass.</t>
        </is>
      </c>
      <c r="V28" s="8" t="s">
        <v>67</v>
      </c>
    </row>
    <row r="31" spans="1:22" ht="45" customHeight="1">
      <c r="A31" s="2" t="s">
        <v>307</v>
      </c>
      <c r="B31" s="11" t="s">
        <v>308</v>
      </c>
      <c r="C31" s="12"/>
      <c r="D31" s="12"/>
      <c r="E31" s="12"/>
      <c r="F31" s="12"/>
      <c r="G31" s="4"/>
      <c r="H31" s="4"/>
      <c r="I31" s="4"/>
      <c r="J31" s="4"/>
      <c r="K31" s="4"/>
      <c r="L31" s="4"/>
    </row>
    <row r="32" spans="1:22" ht="45" customHeight="1">
      <c r="A32" s="2" t="s">
        <v>309</v>
      </c>
      <c r="B32" s="11" t="inlineStr">
        <is>
          <t>Original requirements/ACs retained. Published 668795a; PR17 approvals and main CI 38594557024 pass. Cameron confirmed team M3 read/status scope on 15 Oct 2026. CONDITIONALLY READY for controlled simulated staging; CR-M3-C03 and PED Section 14.</t>
        </is>
      </c>
      <c r="C32" s="12"/>
      <c r="D32" s="12"/>
      <c r="E32" s="12"/>
      <c r="F32" s="12"/>
      <c r="G32" s="4"/>
      <c r="H32" s="4"/>
      <c r="I32" s="4"/>
      <c r="J32" s="4"/>
      <c r="K32" s="4"/>
      <c r="L32" s="4"/>
    </row>
    <row r="33" spans="1:12" ht="45" customHeight="1">
      <c r="A33" s="2" t="s">
        <v>310</v>
      </c>
      <c r="B33" s="11" t="inlineStr">
        <is>
          <t>Planned = no working implementation. In Development = partial evidence; full acceptance unverified. Team plans unfinished original features for M4 finalisation; no requirements removed. M3 conditional readiness applies only to the agreed increment and simulation.</t>
        </is>
      </c>
      <c r="C33" s="12"/>
      <c r="D33" s="12"/>
      <c r="E33" s="12"/>
      <c r="F33" s="12"/>
      <c r="G33" s="4"/>
      <c r="H33" s="4"/>
      <c r="I33" s="4"/>
      <c r="J33" s="4"/>
      <c r="K33" s="4"/>
      <c r="L33" s="4"/>
    </row>
    <row r="34" spans="1:12" ht="45" customHeight="1">
      <c r="A34" s="2" t="s">
        <v>311</v>
      </c>
      <c r="B34" s="11" t="s">
        <v>312</v>
      </c>
      <c r="C34" s="12"/>
      <c r="D34" s="12"/>
      <c r="E34" s="12"/>
      <c r="F34" s="12"/>
      <c r="G34" s="4"/>
      <c r="H34" s="4"/>
      <c r="I34" s="4"/>
      <c r="J34" s="4"/>
      <c r="K34" s="4"/>
      <c r="L34" s="4"/>
    </row>
    <row r="35" spans="1:12" ht="42.75">
      <c r="A35" t="s">
        <v>313</v>
      </c>
      <c r="B35" s="4" t="s">
        <v>314</v>
      </c>
      <c r="C35" s="4"/>
      <c r="D35" s="4"/>
      <c r="E35" s="4"/>
      <c r="F35" s="4"/>
      <c r="G35" s="4"/>
      <c r="H35" s="4"/>
      <c r="I35" s="4"/>
      <c r="J35" s="4"/>
      <c r="K35" s="4"/>
      <c r="L35" s="4"/>
    </row>
    <row r="36" spans="1:12" ht="42.75">
      <c r="A36" t="s">
        <v>315</v>
      </c>
      <c r="B36" s="4" t="s">
        <v>316</v>
      </c>
      <c r="C36" s="4"/>
      <c r="D36" s="4"/>
      <c r="E36" s="4"/>
      <c r="F36" s="4"/>
      <c r="G36" s="4"/>
      <c r="H36" s="4"/>
      <c r="I36" s="4"/>
      <c r="J36" s="4"/>
      <c r="K36" s="4"/>
      <c r="L36" s="4"/>
    </row>
    <row r="37" spans="1:12" ht="42.75">
      <c r="A37" t="s">
        <v>317</v>
      </c>
      <c r="B37" s="4" t="s">
        <v>318</v>
      </c>
      <c r="C37" s="4"/>
      <c r="D37" s="4"/>
      <c r="E37" s="4"/>
      <c r="F37" s="4"/>
      <c r="G37" s="4"/>
      <c r="H37" s="4"/>
      <c r="I37" s="4"/>
      <c r="J37" s="4"/>
      <c r="K37" s="4"/>
      <c r="L37" s="4"/>
    </row>
    <row r="38" spans="1:12" ht="57">
      <c r="A38" t="s">
        <v>319</v>
      </c>
      <c r="B38" s="4" t="s">
        <v>320</v>
      </c>
      <c r="C38" s="4"/>
      <c r="D38" s="4"/>
      <c r="E38" s="4"/>
      <c r="F38" s="4"/>
      <c r="G38" s="4"/>
      <c r="H38" s="4"/>
      <c r="I38" s="4"/>
      <c r="J38" s="4"/>
      <c r="K38" s="4"/>
      <c r="L38" s="4"/>
    </row>
  </sheetData>
  <mergeCells count="4">
    <mergeCell ref="B31:F31"/>
    <mergeCell ref="B32:F32"/>
    <mergeCell ref="B33:F33"/>
    <mergeCell ref="B34:F34"/>
  </mergeCells>
  <dataValidations count="1">
    <dataValidation type="list" sqref="L2:L28" xr:uid="{00000000-0002-0000-0000-000000000000}">
      <formula1>"Planned,In Development,Implemented,Verification Failed,Verified"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showGridLines="0" workbookViewId="0">
      <pane xSplit="1" ySplit="1" topLeftCell="B2" activePane="bottomRight" state="frozen"/>
      <selection pane="topRight"/>
      <selection pane="bottomLeft"/>
      <selection pane="bottomRight"/>
    </sheetView>
  </sheetViews>
  <sheetFormatPr defaultRowHeight="14.25"/>
  <cols>
    <col min="1" max="1" width="11.625" customWidth="1"/>
    <col min="2" max="2" width="48.875" customWidth="1"/>
    <col min="3" max="3" width="10" customWidth="1"/>
    <col min="4" max="5" width="52.25" customWidth="1"/>
  </cols>
  <sheetData>
    <row r="1" spans="1:5" ht="33.950000000000003" customHeight="1">
      <c r="A1" s="9" t="s">
        <v>321</v>
      </c>
      <c r="B1" s="9" t="s">
        <v>1</v>
      </c>
      <c r="C1" s="9" t="s">
        <v>4</v>
      </c>
      <c r="D1" s="9" t="s">
        <v>322</v>
      </c>
      <c r="E1" s="9" t="s">
        <v>323</v>
      </c>
    </row>
    <row r="2" spans="1:5" ht="42" customHeight="1">
      <c r="A2" s="1" t="s">
        <v>22</v>
      </c>
      <c r="B2" s="1" t="s">
        <v>324</v>
      </c>
      <c r="C2" s="1" t="s">
        <v>325</v>
      </c>
      <c r="D2" s="1" t="s">
        <v>326</v>
      </c>
      <c r="E2" s="1" t="s">
        <v>327</v>
      </c>
    </row>
    <row r="3" spans="1:5" ht="42" customHeight="1">
      <c r="A3" s="10" t="s">
        <v>41</v>
      </c>
      <c r="B3" s="10" t="s">
        <v>328</v>
      </c>
      <c r="C3" s="10" t="s">
        <v>325</v>
      </c>
      <c r="D3" s="10" t="s">
        <v>329</v>
      </c>
      <c r="E3" s="10" t="s">
        <v>330</v>
      </c>
    </row>
    <row r="4" spans="1:5" ht="42" customHeight="1">
      <c r="A4" s="1" t="s">
        <v>53</v>
      </c>
      <c r="B4" s="1" t="s">
        <v>331</v>
      </c>
      <c r="C4" s="1" t="s">
        <v>325</v>
      </c>
      <c r="D4" s="1" t="s">
        <v>332</v>
      </c>
      <c r="E4" s="1" t="s">
        <v>333</v>
      </c>
    </row>
    <row r="5" spans="1:5" ht="42" customHeight="1">
      <c r="A5" s="10" t="s">
        <v>68</v>
      </c>
      <c r="B5" s="10" t="s">
        <v>334</v>
      </c>
      <c r="C5" s="10" t="s">
        <v>335</v>
      </c>
      <c r="D5" s="10" t="s">
        <v>336</v>
      </c>
      <c r="E5" s="10" t="s">
        <v>337</v>
      </c>
    </row>
    <row r="6" spans="1:5" ht="42" customHeight="1">
      <c r="A6" s="1" t="s">
        <v>78</v>
      </c>
      <c r="B6" s="1" t="s">
        <v>338</v>
      </c>
      <c r="C6" s="1" t="s">
        <v>335</v>
      </c>
      <c r="D6" s="1" t="s">
        <v>339</v>
      </c>
      <c r="E6" s="1" t="s">
        <v>340</v>
      </c>
    </row>
    <row r="7" spans="1:5" ht="42" customHeight="1">
      <c r="A7" s="10" t="s">
        <v>90</v>
      </c>
      <c r="B7" s="10" t="s">
        <v>341</v>
      </c>
      <c r="C7" s="10" t="s">
        <v>325</v>
      </c>
      <c r="D7" s="10" t="s">
        <v>342</v>
      </c>
      <c r="E7" s="10" t="s">
        <v>343</v>
      </c>
    </row>
    <row r="8" spans="1:5" ht="42" customHeight="1">
      <c r="A8" s="1" t="s">
        <v>101</v>
      </c>
      <c r="B8" s="1" t="s">
        <v>344</v>
      </c>
      <c r="C8" s="1" t="s">
        <v>335</v>
      </c>
      <c r="D8" s="1" t="s">
        <v>345</v>
      </c>
      <c r="E8" s="1" t="s">
        <v>346</v>
      </c>
    </row>
    <row r="9" spans="1:5" ht="42" customHeight="1">
      <c r="A9" s="10" t="s">
        <v>112</v>
      </c>
      <c r="B9" s="10" t="s">
        <v>347</v>
      </c>
      <c r="C9" s="10" t="s">
        <v>325</v>
      </c>
      <c r="D9" s="10" t="s">
        <v>348</v>
      </c>
      <c r="E9" s="10" t="s">
        <v>349</v>
      </c>
    </row>
    <row r="10" spans="1:5" ht="42" customHeight="1">
      <c r="A10" s="1" t="s">
        <v>119</v>
      </c>
      <c r="B10" s="1" t="s">
        <v>350</v>
      </c>
      <c r="C10" s="1" t="s">
        <v>325</v>
      </c>
      <c r="D10" s="1" t="s">
        <v>351</v>
      </c>
      <c r="E10" s="1" t="s">
        <v>352</v>
      </c>
    </row>
    <row r="11" spans="1:5" ht="42" customHeight="1">
      <c r="A11" s="10" t="s">
        <v>129</v>
      </c>
      <c r="B11" s="10" t="s">
        <v>353</v>
      </c>
      <c r="C11" s="10" t="s">
        <v>325</v>
      </c>
      <c r="D11" s="10" t="s">
        <v>354</v>
      </c>
      <c r="E11" s="10" t="s">
        <v>355</v>
      </c>
    </row>
    <row r="12" spans="1:5" ht="42" customHeight="1">
      <c r="A12" s="1" t="s">
        <v>137</v>
      </c>
      <c r="B12" s="1" t="s">
        <v>356</v>
      </c>
      <c r="C12" s="1" t="s">
        <v>325</v>
      </c>
      <c r="D12" s="1" t="s">
        <v>357</v>
      </c>
      <c r="E12" s="1" t="s">
        <v>358</v>
      </c>
    </row>
    <row r="13" spans="1:5" ht="42" customHeight="1">
      <c r="A13" s="10" t="s">
        <v>146</v>
      </c>
      <c r="B13" s="10" t="s">
        <v>359</v>
      </c>
      <c r="C13" s="10" t="s">
        <v>325</v>
      </c>
      <c r="D13" s="10" t="s">
        <v>360</v>
      </c>
      <c r="E13" s="10" t="s">
        <v>361</v>
      </c>
    </row>
    <row r="14" spans="1:5" ht="42" customHeight="1">
      <c r="A14" s="1" t="s">
        <v>153</v>
      </c>
      <c r="B14" s="1" t="s">
        <v>362</v>
      </c>
      <c r="C14" s="1" t="s">
        <v>335</v>
      </c>
      <c r="D14" s="1" t="s">
        <v>363</v>
      </c>
      <c r="E14" s="1" t="s">
        <v>364</v>
      </c>
    </row>
    <row r="15" spans="1:5" ht="42" customHeight="1">
      <c r="A15" s="10" t="s">
        <v>163</v>
      </c>
      <c r="B15" s="10" t="s">
        <v>365</v>
      </c>
      <c r="C15" s="10" t="s">
        <v>335</v>
      </c>
      <c r="D15" s="10" t="s">
        <v>366</v>
      </c>
      <c r="E15" s="10" t="s">
        <v>367</v>
      </c>
    </row>
    <row r="16" spans="1:5" ht="42" customHeight="1">
      <c r="A16" s="1" t="s">
        <v>172</v>
      </c>
      <c r="B16" s="1" t="s">
        <v>368</v>
      </c>
      <c r="C16" s="1" t="s">
        <v>325</v>
      </c>
      <c r="D16" s="1" t="s">
        <v>369</v>
      </c>
      <c r="E16" s="1" t="s">
        <v>370</v>
      </c>
    </row>
    <row r="17" spans="1:5" ht="42" customHeight="1">
      <c r="A17" s="10" t="s">
        <v>182</v>
      </c>
      <c r="B17" s="10" t="s">
        <v>371</v>
      </c>
      <c r="C17" s="10" t="s">
        <v>325</v>
      </c>
      <c r="D17" s="10" t="s">
        <v>372</v>
      </c>
      <c r="E17" s="10" t="s">
        <v>373</v>
      </c>
    </row>
    <row r="18" spans="1:5" ht="42" customHeight="1">
      <c r="A18" s="1" t="s">
        <v>193</v>
      </c>
      <c r="B18" s="1" t="s">
        <v>374</v>
      </c>
      <c r="C18" s="1" t="s">
        <v>335</v>
      </c>
      <c r="D18" s="1" t="s">
        <v>375</v>
      </c>
      <c r="E18" s="1" t="s">
        <v>376</v>
      </c>
    </row>
    <row r="19" spans="1:5" ht="42" customHeight="1">
      <c r="A19" s="10" t="s">
        <v>203</v>
      </c>
      <c r="B19" s="10" t="s">
        <v>377</v>
      </c>
      <c r="C19" s="10" t="s">
        <v>335</v>
      </c>
      <c r="D19" s="10" t="s">
        <v>378</v>
      </c>
      <c r="E19" s="10" t="s">
        <v>379</v>
      </c>
    </row>
    <row r="20" spans="1:5" ht="42" customHeight="1">
      <c r="A20" s="1" t="s">
        <v>212</v>
      </c>
      <c r="B20" s="1" t="s">
        <v>380</v>
      </c>
      <c r="C20" s="1" t="s">
        <v>325</v>
      </c>
      <c r="D20" s="1" t="s">
        <v>381</v>
      </c>
      <c r="E20" s="1" t="s">
        <v>382</v>
      </c>
    </row>
    <row r="21" spans="1:5" ht="57" customHeight="1">
      <c r="A21" s="10" t="s">
        <v>222</v>
      </c>
      <c r="B21" s="10" t="s">
        <v>383</v>
      </c>
      <c r="C21" s="10" t="s">
        <v>335</v>
      </c>
      <c r="D21" s="10" t="s">
        <v>384</v>
      </c>
      <c r="E21" s="10" t="s">
        <v>385</v>
      </c>
    </row>
    <row r="22" spans="1:5" ht="42" customHeight="1">
      <c r="A22" s="1" t="s">
        <v>229</v>
      </c>
      <c r="B22" s="1" t="s">
        <v>386</v>
      </c>
      <c r="C22" s="1" t="s">
        <v>325</v>
      </c>
      <c r="D22" s="1" t="s">
        <v>387</v>
      </c>
      <c r="E22" s="1" t="s">
        <v>388</v>
      </c>
    </row>
    <row r="23" spans="1:5" ht="42" customHeight="1">
      <c r="A23" s="10" t="s">
        <v>237</v>
      </c>
      <c r="B23" s="10" t="s">
        <v>389</v>
      </c>
      <c r="C23" s="10" t="s">
        <v>335</v>
      </c>
      <c r="D23" s="10" t="s">
        <v>390</v>
      </c>
      <c r="E23" s="10" t="s">
        <v>391</v>
      </c>
    </row>
    <row r="24" spans="1:5" ht="42" customHeight="1">
      <c r="A24" s="1" t="s">
        <v>249</v>
      </c>
      <c r="B24" s="1" t="s">
        <v>392</v>
      </c>
      <c r="C24" s="1" t="s">
        <v>335</v>
      </c>
      <c r="D24" s="1" t="s">
        <v>393</v>
      </c>
      <c r="E24" s="1" t="s">
        <v>394</v>
      </c>
    </row>
    <row r="25" spans="1:5" ht="42" customHeight="1">
      <c r="A25" s="10" t="s">
        <v>258</v>
      </c>
      <c r="B25" s="10" t="s">
        <v>395</v>
      </c>
      <c r="C25" s="10" t="s">
        <v>325</v>
      </c>
      <c r="D25" s="10" t="s">
        <v>396</v>
      </c>
      <c r="E25" s="10" t="s">
        <v>397</v>
      </c>
    </row>
    <row r="26" spans="1:5" ht="42" customHeight="1">
      <c r="A26" s="1" t="s">
        <v>271</v>
      </c>
      <c r="B26" s="1" t="s">
        <v>398</v>
      </c>
      <c r="C26" s="1" t="s">
        <v>335</v>
      </c>
      <c r="D26" s="1" t="s">
        <v>399</v>
      </c>
      <c r="E26" s="1" t="s">
        <v>400</v>
      </c>
    </row>
    <row r="27" spans="1:5" ht="42" customHeight="1">
      <c r="A27" s="10" t="s">
        <v>282</v>
      </c>
      <c r="B27" s="10" t="s">
        <v>401</v>
      </c>
      <c r="C27" s="10" t="s">
        <v>325</v>
      </c>
      <c r="D27" s="10" t="s">
        <v>402</v>
      </c>
      <c r="E27" s="10" t="s">
        <v>403</v>
      </c>
    </row>
    <row r="28" spans="1:5" ht="42" customHeight="1">
      <c r="A28" s="1" t="s">
        <v>295</v>
      </c>
      <c r="B28" s="1" t="s">
        <v>404</v>
      </c>
      <c r="C28" s="1" t="s">
        <v>325</v>
      </c>
      <c r="D28" s="1" t="s">
        <v>405</v>
      </c>
      <c r="E28" s="1" t="s">
        <v>406</v>
      </c>
    </row>
    <row r="31" spans="1:5" ht="57.95" customHeight="1">
      <c r="A31" s="2" t="s">
        <v>407</v>
      </c>
      <c r="B31" s="11" t="s">
        <v>408</v>
      </c>
      <c r="C31" s="11"/>
      <c r="D31" s="11"/>
      <c r="E31" s="11"/>
    </row>
    <row r="32" spans="1:5" ht="57.95" customHeight="1">
      <c r="A32" s="2" t="s">
        <v>409</v>
      </c>
      <c r="B32" s="11" t="s">
        <v>410</v>
      </c>
      <c r="C32" s="11"/>
      <c r="D32" s="11"/>
      <c r="E32" s="11"/>
    </row>
    <row r="33" spans="1:5" ht="57.95" customHeight="1">
      <c r="A33" s="2" t="s">
        <v>411</v>
      </c>
      <c r="B33" s="11" t="s">
        <v>412</v>
      </c>
      <c r="C33" s="11"/>
      <c r="D33" s="11"/>
      <c r="E33" s="11"/>
    </row>
    <row r="34" spans="1:5" ht="57.95" customHeight="1">
      <c r="A34" s="2" t="s">
        <v>413</v>
      </c>
      <c r="B34" s="11" t="s">
        <v>414</v>
      </c>
      <c r="C34" s="11"/>
      <c r="D34" s="11"/>
      <c r="E34" s="11"/>
    </row>
    <row r="35" spans="1:5" ht="57.95" customHeight="1">
      <c r="A35" s="2" t="s">
        <v>415</v>
      </c>
      <c r="B35" s="11" t="s">
        <v>416</v>
      </c>
      <c r="C35" s="11"/>
      <c r="D35" s="11"/>
      <c r="E35" s="11"/>
    </row>
    <row r="36" spans="1:5" ht="57.95" customHeight="1">
      <c r="A36" s="2" t="s">
        <v>417</v>
      </c>
      <c r="B36" s="11" t="s">
        <v>418</v>
      </c>
      <c r="C36" s="11"/>
      <c r="D36" s="11"/>
      <c r="E36" s="11"/>
    </row>
    <row r="37" spans="1:5" ht="57.95" customHeight="1">
      <c r="A37" s="2" t="s">
        <v>419</v>
      </c>
      <c r="B37" s="11" t="s">
        <v>420</v>
      </c>
      <c r="C37" s="11"/>
      <c r="D37" s="11"/>
      <c r="E37" s="11"/>
    </row>
  </sheetData>
  <mergeCells count="7">
    <mergeCell ref="B36:E36"/>
    <mergeCell ref="B37:E37"/>
    <mergeCell ref="B31:E31"/>
    <mergeCell ref="B32:E32"/>
    <mergeCell ref="B33:E33"/>
    <mergeCell ref="B34:E34"/>
    <mergeCell ref="B35:E35"/>
  </mergeCells>
  <dataValidations count="1">
    <dataValidation type="list" sqref="C2:C28" xr:uid="{00000000-0002-0000-0100-000000000000}">
      <formula1>"High,Medium,Low"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vt:lpstr>
      <vt:lpstr>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camop</dc:creator>
  <cp:keywords/>
  <dc:description/>
  <cp:lastModifiedBy>Cameron Purdon</cp:lastModifiedBy>
  <cp:revision/>
  <dcterms:created xsi:type="dcterms:W3CDTF">2026-10-13T18:25:51Z</dcterms:created>
  <dcterms:modified xsi:type="dcterms:W3CDTF">2026-10-14T14:40:32Z</dcterms:modified>
  <cp:category/>
  <cp:contentStatus/>
</cp:coreProperties>
</file>