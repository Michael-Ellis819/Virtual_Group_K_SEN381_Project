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cecb66c45984d49" /></Relationships>
</file>

<file path=xl/workbook.xml><?xml version="1.0" encoding="utf-8"?>
<x:workbook xmlns:x="http://schemas.openxmlformats.org/spreadsheetml/2006/main">
  <x:sheets>
    <x:sheet xmlns:r="http://schemas.openxmlformats.org/officeDocument/2006/relationships" name="RTM" sheetId="1" r:id="Rd7cc999ae4474c0b"/>
    <x:sheet xmlns:r="http://schemas.openxmlformats.org/officeDocument/2006/relationships" name="Requirements" sheetId="2" r:id="R567844fcd7b94a4e"/>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1"/>
      <x:color rgb="FF000000"/>
      <x:name val="Calibri"/>
    </x:font>
    <x:font>
      <x:b/>
      <x:sz val="11"/>
      <x:color rgb="FF000000"/>
      <x:name val="Calibri"/>
    </x:font>
    <x:font>
      <x:sz val="11"/>
      <x:name val="Calibri"/>
    </x:font>
    <x:font>
      <x:b/>
      <x:sz val="11"/>
      <x:name val="Calibri"/>
    </x:font>
  </x:fonts>
  <x:fills count="7">
    <x:fill>
      <x:patternFill patternType="none"/>
    </x:fill>
    <x:fill>
      <x:patternFill patternType="gray125"/>
    </x:fill>
    <x:fill>
      <x:patternFill patternType="solid">
        <x:fgColor rgb="FFE7E6E6"/>
      </x:patternFill>
    </x:fill>
    <x:fill>
      <x:patternFill patternType="solid">
        <x:fgColor rgb="FFF5F5F5"/>
      </x:patternFill>
    </x:fill>
    <x:fill>
      <x:patternFill patternType="solid">
        <x:fgColor rgb="FFE7E6E6"/>
      </x:patternFill>
    </x:fill>
    <x:fill>
      <x:patternFill patternType="solid">
        <x:fgColor rgb="FFFFFFFF"/>
      </x:patternFill>
    </x:fill>
    <x:fill>
      <x:patternFill patternType="solid">
        <x:fgColor rgb="FFF5F5F5"/>
      </x:patternFill>
    </x:fill>
  </x:fills>
  <x:borders count="1">
    <x:border/>
  </x:borders>
  <x:cellStyleXfs count="1">
    <x:xf numFmtId="0" fontId="0" fillId="0" borderId="0"/>
  </x:cellStyleXfs>
  <x:cellXfs count="1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3" fillId="0" borderId="0" xfId="0" applyNumberFormat="1" applyFont="1" applyFill="1" applyBorder="1"/>
    <x:xf numFmtId="0" fontId="3" fillId="0" borderId="0" xfId="0" applyNumberFormat="1" applyFont="1" applyFill="1" applyBorder="1" applyAlignment="1">
      <x:alignment wrapText="1"/>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6"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374eb1e0d9f450e" /><Relationship Type="http://schemas.openxmlformats.org/officeDocument/2006/relationships/theme" Target="/xl/theme/theme1.xml" Id="Rf8507f82da724385" /><Relationship Type="http://schemas.openxmlformats.org/officeDocument/2006/relationships/sharedStrings" Target="/xl/sharedStrings.xml" Id="R2cabb63a8f304c65" /><Relationship Type="http://schemas.openxmlformats.org/officeDocument/2006/relationships/worksheet" Target="/xl/worksheets/sheet1.xml" Id="Rd7cc999ae4474c0b" /><Relationship Type="http://schemas.openxmlformats.org/officeDocument/2006/relationships/worksheet" Target="/xl/worksheets/sheet2.xml" Id="R567844fcd7b94a4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11.670000076293945" hidden="0" customWidth="1"/>
    <x:col min="2" max="2" width="26.110000610351562" hidden="0" customWidth="1"/>
    <x:col min="3" max="3" width="37.220001220703125" hidden="0" customWidth="1"/>
    <x:col min="4" max="4" width="27.780000686645508" hidden="0" customWidth="1"/>
    <x:col min="5" max="5" width="10" hidden="0" customWidth="1"/>
    <x:col min="6" max="6" width="32.220001220703125" hidden="0" customWidth="1"/>
    <x:col min="7" max="7" width="48" hidden="0" customWidth="1"/>
    <x:col min="8" max="8" width="48" hidden="0" customWidth="1"/>
    <x:col min="9" max="9" width="48" hidden="0" customWidth="1"/>
    <x:col min="10" max="10" width="32" hidden="0" customWidth="1"/>
    <x:col min="11" max="11" width="22" hidden="0" customWidth="1"/>
    <x:col min="12" max="12" width="22" hidden="0" customWidth="1"/>
    <x:col min="14" max="14" width="48" hidden="0" customWidth="1"/>
    <x:col min="15" max="15" width="48" hidden="0" customWidth="1"/>
    <x:col min="16" max="16" width="48" hidden="0" customWidth="1"/>
    <x:col min="18" max="18" width="48" hidden="0" customWidth="1"/>
    <x:col min="13" max="13" width="32" hidden="0" customWidth="1"/>
    <x:col min="17" max="17" width="32" hidden="0" customWidth="1"/>
  </x:cols>
  <x:sheetData>
    <x:row r="1" ht="42" customHeight="1">
      <x:c r="A1" s="5" t="str">
        <x:v>Requirement ID</x:v>
      </x:c>
      <x:c r="B1" s="5" t="str">
        <x:v>Requirement</x:v>
      </x:c>
      <x:c r="C1" s="5" t="str">
        <x:v>Stakeholder and source</x:v>
      </x:c>
      <x:c r="D1" s="5" t="str">
        <x:v>Scope reference</x:v>
      </x:c>
      <x:c r="E1" s="5" t="str">
        <x:v>Priority</x:v>
      </x:c>
      <x:c r="F1" s="5" t="str">
        <x:v>Acceptance IDs</x:v>
      </x:c>
      <x:c r="G1" s="5" t="str">
        <x:v>Design reference</x:v>
      </x:c>
      <x:c r="H1" s="5" t="str">
        <x:v>Issue / PR / code</x:v>
      </x:c>
      <x:c r="I1" s="5" t="str">
        <x:v>Test evidence</x:v>
      </x:c>
      <x:c r="J1" s="5" t="str">
        <x:v>Change reference</x:v>
      </x:c>
      <x:c r="K1" s="5" t="str">
        <x:v>Release evidence</x:v>
      </x:c>
      <x:c r="L1" s="5" t="str">
        <x:v>Implementation status</x:v>
      </x:c>
      <x:c r="M1" s="11" t="str">
        <x:v>ASR / quality driver</x:v>
      </x:c>
      <x:c r="N1" s="11" t="str">
        <x:v>Architecture / module</x:v>
      </x:c>
      <x:c r="O1" s="11" t="str">
        <x:v>Data / persistence impact</x:v>
      </x:c>
      <x:c r="P1" s="11" t="str">
        <x:v>Technology decision</x:v>
      </x:c>
      <x:c r="Q1" s="11" t="str">
        <x:v>ADR / risk reference</x:v>
      </x:c>
      <x:c r="R1" s="11" t="str">
        <x:v>Current requirement wording</x:v>
      </x:c>
    </x:row>
    <x:row r="2" ht="95" customHeight="1">
      <x:c r="A2" s="3" t="str">
        <x:v>FR-001</x:v>
      </x:c>
      <x:c r="B2" s="3" t="str">
        <x:v>Submit a service request</x:v>
      </x:c>
      <x:c r="C2" s="3" t="str">
        <x:v>Requester; PED §1.2, §2.1.1; MB §3 Requester</x:v>
      </x:c>
      <x:c r="D2" s="3" t="str">
        <x:v>SR-IN-01</x:v>
      </x:c>
      <x:c r="E2" s="3" t="str">
        <x:f>INDEX(Requirements!$C$2:$C$28,MATCH(A2,Requirements!$A$2:$A$28,0))</x:f>
        <x:v>High</x:v>
      </x:c>
      <x:c r="F2" s="3" t="str">
        <x:v>AC-FR-001-1; AC-FR-001-2</x:v>
      </x:c>
      <x:c r="G2" s="3" t="str">
        <x:v>ADR-M2-03; ADR-M2-04; ADR-M2-06; docs/decisions/README.md</x:v>
      </x:c>
      <x:c r="H2" s="3" t="str">
        <x:v>Planned. Design source PR #10 (architecture) / #11 (data/technology); no application implementation for this row.</x:v>
      </x:c>
      <x:c r="I2" s="3" t="str">
        <x:v>Creation and input validation not implemented</x:v>
      </x:c>
      <x:c r="J2" s="3" t="str">
        <x:v>M2 consolidation 2026-09-30; requirement/AC unchanged</x:v>
      </x:c>
      <x:c r="K2" s="3" t="str">
        <x:v>No release evidence</x:v>
      </x:c>
      <x:c r="L2" s="3" t="str">
        <x:v>Planned</x:v>
      </x:c>
      <x:c r="M2" s="14" t="str">
        <x:v>Integrity; pilot performance</x:v>
      </x:c>
      <x:c r="N2" s="14" t="str">
        <x:v>Submission service (planned)</x:v>
      </x:c>
      <x:c r="O2" s="14" t="str">
        <x:v>ServiceRequest, Category, RequestHistory; atomic creation and idempotency</x:v>
      </x:c>
      <x:c r="P2" s="14" t="str">
        <x:v>ADR-M2-04: ASP.NET Core MVC/Razor; EF Core/PostgreSQL selected, adapter not built</x:v>
      </x:c>
      <x:c r="Q2" s="14" t="str">
        <x:v>R-015; R-036</x:v>
      </x:c>
      <x:c r="R2" s="14" t="str">
        <x:f>INDEX(Requirements!$B$2:$B$28,MATCH(A2,Requirements!$A$2:$A$28,0))</x:f>
        <x:v>Allow requesters to submit a request with a category, description and location.</x:v>
      </x:c>
    </x:row>
    <x:row r="3" ht="95" customHeight="1">
      <x:c r="A3" s="6" t="str">
        <x:v>FR-002</x:v>
      </x:c>
      <x:c r="B3" s="6" t="str">
        <x:v>Controlled request categories</x:v>
      </x:c>
      <x:c r="C3" s="6" t="str">
        <x:v>Requester; Staff; PED §2.1.1, A-02; MB §3 Requester</x:v>
      </x:c>
      <x:c r="D3" s="6" t="str">
        <x:v>SR-IN-02</x:v>
      </x:c>
      <x:c r="E3" s="6" t="str">
        <x:f>INDEX(Requirements!$C$2:$C$28,MATCH(A3,Requirements!$A$2:$A$28,0))</x:f>
        <x:v>High</x:v>
      </x:c>
      <x:c r="F3" s="6" t="str">
        <x:v>AC-FR-002-1; AC-FR-002-2</x:v>
      </x:c>
      <x:c r="G3" s="6" t="str">
        <x:v>ADR-M2-03; ADR-M2-04; docs/decisions/README.md</x:v>
      </x:c>
      <x:c r="H3" s="6" t="str">
        <x:v>Planned. Design source PR #10 (architecture) / #11 (data/technology); no application implementation for this row.</x:v>
      </x:c>
      <x:c r="I3" s="6" t="str">
        <x:v>Controlled catalogue and persistent keys not implemented</x:v>
      </x:c>
      <x:c r="J3" s="6" t="str">
        <x:v>M2 consolidation 2026-09-30; requirement/AC unchanged</x:v>
      </x:c>
      <x:c r="K3" s="6" t="str">
        <x:v>No release evidence</x:v>
      </x:c>
      <x:c r="L3" s="6" t="str">
        <x:v>Planned</x:v>
      </x:c>
      <x:c r="M3" s="15" t="str">
        <x:v>Integrity</x:v>
      </x:c>
      <x:c r="N3" s="15" t="str">
        <x:v>Category catalogue (planned)</x:v>
      </x:c>
      <x:c r="O3" s="15" t="str">
        <x:v>Category FK; retain referenced category</x:v>
      </x:c>
      <x:c r="P3" s="15" t="str">
        <x:v>ADR-M2-04: ASP.NET Core MVC/Razor; EF Core/PostgreSQL selected, adapter not built</x:v>
      </x:c>
      <x:c r="Q3" s="15" t="str">
        <x:v>R-019</x:v>
      </x:c>
      <x:c r="R3" s="15" t="str">
        <x:f>INDEX(Requirements!$B$2:$B$28,MATCH(A3,Requirements!$A$2:$A$28,0))</x:f>
        <x:v>Use a predefined list of request categories.</x:v>
      </x:c>
    </x:row>
    <x:row r="4" ht="95" customHeight="1">
      <x:c r="A4" s="3" t="str">
        <x:v>FR-003</x:v>
      </x:c>
      <x:c r="B4" s="3" t="str">
        <x:v>View own request status</x:v>
      </x:c>
      <x:c r="C4" s="3" t="str">
        <x:v>Requester; PED §1.2, §2.1.1; MB §3 Requester</x:v>
      </x:c>
      <x:c r="D4" s="3" t="str">
        <x:v>SR-IN-03</x:v>
      </x:c>
      <x:c r="E4" s="3" t="str">
        <x:f>INDEX(Requirements!$C$2:$C$28,MATCH(A4,Requirements!$A$2:$A$28,0))</x:f>
        <x:v>High</x:v>
      </x:c>
      <x:c r="F4" s="3" t="str">
        <x:v>AC-FR-003-1; AC-FR-003-2</x:v>
      </x:c>
      <x:c r="G4" s="3" t="str">
        <x:v>ADR-M2-01; ADR-M2-03; ADR-M2-04; ADR-M2-05; ADR-M2-06; docs/decisions/README.md</x:v>
      </x:c>
      <x:c r="H4" s="3" t="str">
        <x:v>Local: src/CivicConnect.Web/; tests/CivicConnect.Verification/Program.cs. Cameron M2 PR not created.</x:v>
      </x:c>
      <x:c r="I4" s="3" t="str">
        <x:v>S01/S03; H04/H05/H07; initial read checks passed; docs/evidence/local-verification.txt</x:v>
      </x:c>
      <x:c r="J4" s="3" t="str">
        <x:v>M2 consolidation 2026-09-30; requirement/AC unchanged</x:v>
      </x:c>
      <x:c r="K4" s="3" t="str">
        <x:v>No release evidence</x:v>
      </x:c>
      <x:c r="L4" s="3" t="str">
        <x:v>In Development</x:v>
      </x:c>
      <x:c r="M4" s="14" t="str">
        <x:v>Access isolation</x:v>
      </x:c>
      <x:c r="N4" s="14" t="str">
        <x:v>RequestsController; RequestQueryService</x:v>
      </x:c>
      <x:c r="O4" s="14" t="str">
        <x:v>ServiceRequest ownership/status snapshot; PostgreSQL adapter planned</x:v>
      </x:c>
      <x:c r="P4" s="14" t="str">
        <x:v>ADR-M2-04: ASP.NET Core MVC/Razor; EF Core/PostgreSQL selected, adapter not built</x:v>
      </x:c>
      <x:c r="Q4" s="14" t="str">
        <x:v>R-013; R-017</x:v>
      </x:c>
      <x:c r="R4" s="14" t="str">
        <x:f>INDEX(Requirements!$B$2:$B$28,MATCH(A4,Requirements!$A$2:$A$28,0))</x:f>
        <x:v>Allow requesters to view the current status of their own requests.</x:v>
      </x:c>
    </x:row>
    <x:row r="5" ht="95" customHeight="1">
      <x:c r="A5" s="6" t="str">
        <x:v>FR-004</x:v>
      </x:c>
      <x:c r="B5" s="6" t="str">
        <x:v>View own request history</x:v>
      </x:c>
      <x:c r="C5" s="6" t="str">
        <x:v>Requester; PED §1.2, §2.1.1; MB §3 Requester</x:v>
      </x:c>
      <x:c r="D5" s="6" t="str">
        <x:v>SR-IN-04</x:v>
      </x:c>
      <x:c r="E5" s="6" t="str">
        <x:f>INDEX(Requirements!$C$2:$C$28,MATCH(A5,Requirements!$A$2:$A$28,0))</x:f>
        <x:v>Medium</x:v>
      </x:c>
      <x:c r="F5" s="6" t="str">
        <x:v>AC-FR-004-1; AC-FR-004-2</x:v>
      </x:c>
      <x:c r="G5" s="6" t="str">
        <x:v>ADR-M2-03; ADR-M2-04; ADR-M2-05; ADR-M2-06; docs/decisions/README.md</x:v>
      </x:c>
      <x:c r="H5" s="6" t="str">
        <x:v>Planned. Design source PR #10 (architecture) / #11 (data/technology); no application implementation for this row.</x:v>
      </x:c>
      <x:c r="I5" s="6" t="str">
        <x:v>List/history query not implemented</x:v>
      </x:c>
      <x:c r="J5" s="6" t="str">
        <x:v>M2 consolidation 2026-09-30; requirement/AC unchanged</x:v>
      </x:c>
      <x:c r="K5" s="6" t="str">
        <x:v>No release evidence</x:v>
      </x:c>
      <x:c r="L5" s="6" t="str">
        <x:v>Planned</x:v>
      </x:c>
      <x:c r="M5" s="15" t="str">
        <x:v>Access isolation</x:v>
      </x:c>
      <x:c r="N5" s="15" t="str">
        <x:v>Requester history query (planned)</x:v>
      </x:c>
      <x:c r="O5" s="15" t="str">
        <x:v>Requester-scoped ServiceRequest collection</x:v>
      </x:c>
      <x:c r="P5" s="15" t="str">
        <x:v>ADR-M2-04: ASP.NET Core MVC/Razor; EF Core/PostgreSQL selected, adapter not built</x:v>
      </x:c>
      <x:c r="Q5" s="15" t="str">
        <x:v>R-013</x:v>
      </x:c>
      <x:c r="R5" s="15" t="str">
        <x:f>INDEX(Requirements!$B$2:$B$28,MATCH(A5,Requirements!$A$2:$A$28,0))</x:f>
        <x:v>Allow requesters to view their previous requests.</x:v>
      </x:c>
    </x:row>
    <x:row r="6" ht="95" customHeight="1">
      <x:c r="A6" s="3" t="str">
        <x:v>FR-005</x:v>
      </x:c>
      <x:c r="B6" s="3" t="str">
        <x:v>Requester feedback</x:v>
      </x:c>
      <x:c r="C6" s="3" t="str">
        <x:v>Requester; PED §2.1.1; §5.2 concern 5; MB §3 Requester</x:v>
      </x:c>
      <x:c r="D6" s="3" t="str">
        <x:v>SR-IN-05</x:v>
      </x:c>
      <x:c r="E6" s="3" t="str">
        <x:f>INDEX(Requirements!$C$2:$C$28,MATCH(A6,Requirements!$A$2:$A$28,0))</x:f>
        <x:v>Medium</x:v>
      </x:c>
      <x:c r="F6" s="3" t="str">
        <x:v>AC-FR-005-1; AC-FR-005-2</x:v>
      </x:c>
      <x:c r="G6" s="3" t="str">
        <x:v>ADR-M2-02; ADR-M2-03; ADR-M2-04; ADR-M2-06; docs/decisions/README.md</x:v>
      </x:c>
      <x:c r="H6" s="3" t="str">
        <x:v>Planned. Design source PR #10 (architecture) / #11 (data/technology); no application implementation for this row.</x:v>
      </x:c>
      <x:c r="I6" s="3" t="str">
        <x:v>Explicit coordination selected; no delivery implementation</x:v>
      </x:c>
      <x:c r="J6" s="3" t="str">
        <x:v>M2 consolidation 2026-09-30; requirement/AC unchanged</x:v>
      </x:c>
      <x:c r="K6" s="3" t="str">
        <x:v>No release evidence</x:v>
      </x:c>
      <x:c r="L6" s="3" t="str">
        <x:v>Planned</x:v>
      </x:c>
      <x:c r="M6" s="14" t="str">
        <x:v>Integrity; access isolation</x:v>
      </x:c>
      <x:c r="N6" s="14" t="str">
        <x:v>Future change coordinator and feedback query</x:v>
      </x:c>
      <x:c r="O6" s="14" t="str">
        <x:v>RequesterFeedback saved with required request/history changes</x:v>
      </x:c>
      <x:c r="P6" s="14" t="str">
        <x:v>ADR-M2-04: ASP.NET Core MVC/Razor; EF Core/PostgreSQL selected, adapter not built</x:v>
      </x:c>
      <x:c r="Q6" s="14" t="str">
        <x:v>R-027; R-028</x:v>
      </x:c>
      <x:c r="R6" s="14" t="str">
        <x:f>INDEX(Requirements!$B$2:$B$28,MATCH(A6,Requirements!$A$2:$A$28,0))</x:f>
        <x:v>Provide requester feedback when a request is accepted, rejected, updated or completed.</x:v>
      </x:c>
    </x:row>
    <x:row r="7" ht="95" customHeight="1">
      <x:c r="A7" s="6" t="str">
        <x:v>FR-006</x:v>
      </x:c>
      <x:c r="B7" s="6" t="str">
        <x:v>Authorised staff request list</x:v>
      </x:c>
      <x:c r="C7" s="6" t="str">
        <x:v>Staff; PED §1.2, §2.1.1, §2.2.3; MB §3 Staff</x:v>
      </x:c>
      <x:c r="D7" s="6" t="str">
        <x:v>SR-IN-06</x:v>
      </x:c>
      <x:c r="E7" s="6" t="str">
        <x:f>INDEX(Requirements!$C$2:$C$28,MATCH(A7,Requirements!$A$2:$A$28,0))</x:f>
        <x:v>High</x:v>
      </x:c>
      <x:c r="F7" s="6" t="str">
        <x:v>AC-FR-006-1; AC-FR-006-2</x:v>
      </x:c>
      <x:c r="G7" s="6" t="str">
        <x:v>ADR-M2-03; ADR-M2-04; ADR-M2-05; ADR-M2-06; docs/decisions/README.md</x:v>
      </x:c>
      <x:c r="H7" s="6" t="str">
        <x:v>Planned. Design source PR #10 (architecture) / #11 (data/technology); no application implementation for this row.</x:v>
      </x:c>
      <x:c r="I7" s="6" t="str">
        <x:v>Detail category policy exists; list acceptance not checked</x:v>
      </x:c>
      <x:c r="J7" s="6" t="str">
        <x:v>M2 consolidation 2026-09-30; requirement/AC unchanged</x:v>
      </x:c>
      <x:c r="K7" s="6" t="str">
        <x:v>No release evidence</x:v>
      </x:c>
      <x:c r="L7" s="6" t="str">
        <x:v>Planned</x:v>
      </x:c>
      <x:c r="M7" s="15" t="str">
        <x:v>Access isolation</x:v>
      </x:c>
      <x:c r="N7" s="15" t="str">
        <x:v>Staff list query (planned)</x:v>
      </x:c>
      <x:c r="O7" s="15" t="str">
        <x:v>Category permission filter before counts/pagination</x:v>
      </x:c>
      <x:c r="P7" s="15" t="str">
        <x:v>ADR-M2-04: ASP.NET Core MVC/Razor; EF Core/PostgreSQL selected, adapter not built</x:v>
      </x:c>
      <x:c r="Q7" s="15" t="str">
        <x:v>R-013; R-032</x:v>
      </x:c>
      <x:c r="R7" s="15" t="str">
        <x:f>INDEX(Requirements!$B$2:$B$28,MATCH(A7,Requirements!$A$2:$A$28,0))</x:f>
        <x:v>Allow staff to view requests permitted by their role and assigned categories.</x:v>
      </x:c>
    </x:row>
    <x:row r="8" ht="95" customHeight="1">
      <x:c r="A8" s="3" t="str">
        <x:v>FR-007</x:v>
      </x:c>
      <x:c r="B8" s="3" t="str">
        <x:v>Search, filter and sort</x:v>
      </x:c>
      <x:c r="C8" s="3" t="str">
        <x:v>Staff; PED §2.1.1; MB §3 Staff</x:v>
      </x:c>
      <x:c r="D8" s="3" t="str">
        <x:v>SR-IN-07</x:v>
      </x:c>
      <x:c r="E8" s="3" t="str">
        <x:f>INDEX(Requirements!$C$2:$C$28,MATCH(A8,Requirements!$A$2:$A$28,0))</x:f>
        <x:v>Medium</x:v>
      </x:c>
      <x:c r="F8" s="3" t="str">
        <x:v>AC-FR-007-1; AC-FR-007-2</x:v>
      </x:c>
      <x:c r="G8" s="3" t="str">
        <x:v>ADR-M2-03; ADR-M2-04; ADR-M2-05; ADR-M2-06; docs/decisions/README.md</x:v>
      </x:c>
      <x:c r="H8" s="3" t="str">
        <x:v>Planned. Design source PR #10 (architecture) / #11 (data/technology); no application implementation for this row.</x:v>
      </x:c>
      <x:c r="I8" s="3" t="str">
        <x:v>No search, sorting or load evidence</x:v>
      </x:c>
      <x:c r="J8" s="3" t="str">
        <x:v>M2 consolidation 2026-09-30; requirement/AC unchanged</x:v>
      </x:c>
      <x:c r="K8" s="3" t="str">
        <x:v>No release evidence</x:v>
      </x:c>
      <x:c r="L8" s="3" t="str">
        <x:v>Planned</x:v>
      </x:c>
      <x:c r="M8" s="14" t="str">
        <x:v>Pilot performance; access isolation</x:v>
      </x:c>
      <x:c r="N8" s="14" t="str">
        <x:v>Search/filter query (planned)</x:v>
      </x:c>
      <x:c r="O8" s="14" t="str">
        <x:v>Permission-constrained sort/filter/index strategy</x:v>
      </x:c>
      <x:c r="P8" s="14" t="str">
        <x:v>ADR-M2-04: ASP.NET Core MVC/Razor; EF Core/PostgreSQL selected, adapter not built</x:v>
      </x:c>
      <x:c r="Q8" s="14" t="str">
        <x:v>R-016; R-022</x:v>
      </x:c>
      <x:c r="R8" s="14" t="str">
        <x:f>INDEX(Requirements!$B$2:$B$28,MATCH(A8,Requirements!$A$2:$A$28,0))</x:f>
        <x:v>Allow staff to search requests and filter by status, category, date and priority, and sort by date or priority.</x:v>
      </x:c>
    </x:row>
    <x:row r="9" ht="95" customHeight="1">
      <x:c r="A9" s="6" t="str">
        <x:v>FR-008</x:v>
      </x:c>
      <x:c r="B9" s="6" t="str">
        <x:v>Full request details</x:v>
      </x:c>
      <x:c r="C9" s="6" t="str">
        <x:v>Staff; PED §2.1.1; MB §3 Staff</x:v>
      </x:c>
      <x:c r="D9" s="6" t="str">
        <x:v>SR-IN-08</x:v>
      </x:c>
      <x:c r="E9" s="6" t="str">
        <x:f>INDEX(Requirements!$C$2:$C$28,MATCH(A9,Requirements!$A$2:$A$28,0))</x:f>
        <x:v>High</x:v>
      </x:c>
      <x:c r="F9" s="6" t="str">
        <x:v>AC-FR-008-1; AC-FR-008-2</x:v>
      </x:c>
      <x:c r="G9" s="6" t="str">
        <x:v>ADR-M2-01; ADR-M2-03; ADR-M2-04; ADR-M2-05; ADR-M2-06; docs/decisions/README.md</x:v>
      </x:c>
      <x:c r="H9" s="6" t="str">
        <x:v>Local: src/CivicConnect.Web/; tests/CivicConnect.Verification/Program.cs. Cameron M2 PR not created.</x:v>
      </x:c>
      <x:c r="I9" s="6" t="str">
        <x:v>S04/S05; H08/H09; initial category/detail checks passed; docs/evidence/local-verification.txt</x:v>
      </x:c>
      <x:c r="J9" s="6" t="str">
        <x:v>M2 consolidation 2026-09-30; requirement/AC unchanged</x:v>
      </x:c>
      <x:c r="K9" s="6" t="str">
        <x:v>No release evidence</x:v>
      </x:c>
      <x:c r="L9" s="6" t="str">
        <x:v>In Development</x:v>
      </x:c>
      <x:c r="M9" s="15" t="str">
        <x:v>Access isolation</x:v>
      </x:c>
      <x:c r="N9" s="15" t="str">
        <x:v>RequestsController; RequestQueryService</x:v>
      </x:c>
      <x:c r="O9" s="15" t="str">
        <x:v>ServiceRequest and RequestNote read snapshot</x:v>
      </x:c>
      <x:c r="P9" s="15" t="str">
        <x:v>ADR-M2-04: ASP.NET Core MVC/Razor; EF Core/PostgreSQL selected, adapter not built</x:v>
      </x:c>
      <x:c r="Q9" s="15" t="str">
        <x:v>R-013; R-017</x:v>
      </x:c>
      <x:c r="R9" s="15" t="str">
        <x:f>INDEX(Requirements!$B$2:$B$28,MATCH(A9,Requirements!$A$2:$A$28,0))</x:f>
        <x:v>Allow authorised staff to view full request details.</x:v>
      </x:c>
    </x:row>
    <x:row r="10" ht="95" customHeight="1">
      <x:c r="A10" s="3" t="str">
        <x:v>FR-009</x:v>
      </x:c>
      <x:c r="B10" s="3" t="str">
        <x:v>Assign or accept ownership</x:v>
      </x:c>
      <x:c r="C10" s="3" t="str">
        <x:v>Staff; PED §2.1.1; MB §3 Staff</x:v>
      </x:c>
      <x:c r="D10" s="3" t="str">
        <x:v>SR-IN-09</x:v>
      </x:c>
      <x:c r="E10" s="3" t="str">
        <x:f>INDEX(Requirements!$C$2:$C$28,MATCH(A10,Requirements!$A$2:$A$28,0))</x:f>
        <x:v>High</x:v>
      </x:c>
      <x:c r="F10" s="3" t="str">
        <x:v>AC-FR-009-1; AC-FR-009-2</x:v>
      </x:c>
      <x:c r="G10" s="3" t="str">
        <x:v>ADR-M2-02; ADR-M2-03; ADR-M2-04; ADR-M2-05; ADR-M2-06; docs/decisions/README.md</x:v>
      </x:c>
      <x:c r="H10" s="3" t="str">
        <x:v>Planned. Design source PR #10 (architecture) / #11 (data/technology); no application implementation for this row.</x:v>
      </x:c>
      <x:c r="I10" s="3" t="str">
        <x:v>Database concurrency mechanism and simultaneous-claim test pending</x:v>
      </x:c>
      <x:c r="J10" s="3" t="str">
        <x:v>M2 consolidation 2026-09-30; requirement/AC unchanged</x:v>
      </x:c>
      <x:c r="K10" s="3" t="str">
        <x:v>No release evidence</x:v>
      </x:c>
      <x:c r="L10" s="3" t="str">
        <x:v>Planned</x:v>
      </x:c>
      <x:c r="M10" s="14" t="str">
        <x:v>Integrity</x:v>
      </x:c>
      <x:c r="N10" s="14" t="str">
        <x:v>Assignment service (planned)</x:v>
      </x:c>
      <x:c r="O10" s="14" t="str">
        <x:v>Conditional atomic owner update plus RequestHistory</x:v>
      </x:c>
      <x:c r="P10" s="14" t="str">
        <x:v>ADR-M2-04: ASP.NET Core MVC/Razor; EF Core/PostgreSQL selected, adapter not built</x:v>
      </x:c>
      <x:c r="Q10" s="14" t="str">
        <x:v>R-015</x:v>
      </x:c>
      <x:c r="R10" s="14" t="str">
        <x:f>INDEX(Requirements!$B$2:$B$28,MATCH(A10,Requirements!$A$2:$A$28,0))</x:f>
        <x:v>Allow authorised staff to assign a request or accept responsibility for it.</x:v>
      </x:c>
    </x:row>
    <x:row r="11" ht="95" customHeight="1">
      <x:c r="A11" s="6" t="str">
        <x:v>FR-010</x:v>
      </x:c>
      <x:c r="B11" s="6" t="str">
        <x:v>Controlled status transitions</x:v>
      </x:c>
      <x:c r="C11" s="6" t="str">
        <x:v>Staff; PED §2.1.1; MB §3 Staff</x:v>
      </x:c>
      <x:c r="D11" s="6" t="str">
        <x:v>SR-IN-10</x:v>
      </x:c>
      <x:c r="E11" s="6" t="str">
        <x:f>INDEX(Requirements!$C$2:$C$28,MATCH(A11,Requirements!$A$2:$A$28,0))</x:f>
        <x:v>High</x:v>
      </x:c>
      <x:c r="F11" s="6" t="str">
        <x:v>AC-FR-010-1; AC-FR-010-2</x:v>
      </x:c>
      <x:c r="G11" s="6" t="str">
        <x:v>ADR-M2-02; ADR-M2-03; ADR-M2-04; ADR-M2-05; ADR-M2-06; docs/decisions/README.md</x:v>
      </x:c>
      <x:c r="H11" s="6" t="str">
        <x:v>Planned. Design source PR #10 (architecture) / #11 (data/technology); no application implementation for this row.</x:v>
      </x:c>
      <x:c r="I11" s="6" t="str">
        <x:v>State code not present; no transition acceptance test</x:v>
      </x:c>
      <x:c r="J11" s="6" t="str">
        <x:v>M2 consolidation 2026-09-30; requirement/AC unchanged</x:v>
      </x:c>
      <x:c r="K11" s="6" t="str">
        <x:v>No release evidence</x:v>
      </x:c>
      <x:c r="L11" s="6" t="str">
        <x:v>Planned</x:v>
      </x:c>
      <x:c r="M11" s="15" t="str">
        <x:v>Integrity; testability</x:v>
      </x:c>
      <x:c r="N11" s="15" t="str">
        <x:v>StatusTransitionService and State objects (planned)</x:v>
      </x:c>
      <x:c r="O11" s="15" t="str">
        <x:v>State/history transaction; legal transition controlled by service</x:v>
      </x:c>
      <x:c r="P11" s="15" t="str">
        <x:v>ADR-M2-04: ASP.NET Core MVC/Razor; EF Core/PostgreSQL selected, adapter not built</x:v>
      </x:c>
      <x:c r="Q11" s="15" t="str">
        <x:v>R-011; R-027</x:v>
      </x:c>
      <x:c r="R11" s="15" t="str">
        <x:f>INDEX(Requirements!$B$2:$B$28,MATCH(A11,Requirements!$A$2:$A$28,0))</x:f>
        <x:v>Allow request status changes only through the agreed lifecycle.</x:v>
      </x:c>
    </x:row>
    <x:row r="12" ht="95" customHeight="1">
      <x:c r="A12" s="3" t="str">
        <x:v>FR-011</x:v>
      </x:c>
      <x:c r="B12" s="3" t="str">
        <x:v>Record actions and notes</x:v>
      </x:c>
      <x:c r="C12" s="3" t="str">
        <x:v>Staff; PED §2.1.1; MB §3 Staff</x:v>
      </x:c>
      <x:c r="D12" s="3" t="str">
        <x:v>SR-IN-11</x:v>
      </x:c>
      <x:c r="E12" s="3" t="str">
        <x:f>INDEX(Requirements!$C$2:$C$28,MATCH(A12,Requirements!$A$2:$A$28,0))</x:f>
        <x:v>High</x:v>
      </x:c>
      <x:c r="F12" s="3" t="str">
        <x:v>AC-FR-011-1; AC-FR-011-2</x:v>
      </x:c>
      <x:c r="G12" s="3" t="str">
        <x:v>ADR-M2-03; ADR-M2-04; ADR-M2-05; ADR-M2-06; docs/decisions/README.md</x:v>
      </x:c>
      <x:c r="H12" s="3" t="str">
        <x:v>Local: src/CivicConnect.Web/; tests/CivicConnect.Verification/Program.cs. Cameron M2 PR not created.</x:v>
      </x:c>
      <x:c r="I12" s="3" t="str">
        <x:v>S02; H05/H08 protect read projection only; writes pending; docs/evidence/local-verification.txt</x:v>
      </x:c>
      <x:c r="J12" s="3" t="str">
        <x:v>M2 consolidation 2026-09-30; requirement/AC unchanged</x:v>
      </x:c>
      <x:c r="K12" s="3" t="str">
        <x:v>No release evidence</x:v>
      </x:c>
      <x:c r="L12" s="3" t="str">
        <x:v>In Development</x:v>
      </x:c>
      <x:c r="M12" s="14" t="str">
        <x:v>Access isolation; integrity</x:v>
      </x:c>
      <x:c r="N12" s="14" t="str">
        <x:v>RequestQueryService note projection; note writing planned</x:v>
      </x:c>
      <x:c r="O12" s="14" t="str">
        <x:v>RequestNote.IsRequesterVisible; author/history persistence planned</x:v>
      </x:c>
      <x:c r="P12" s="14" t="str">
        <x:v>ADR-M2-04: ASP.NET Core MVC/Razor; EF Core/PostgreSQL selected, adapter not built</x:v>
      </x:c>
      <x:c r="Q12" s="14" t="str">
        <x:v>R-017</x:v>
      </x:c>
      <x:c r="R12" s="14" t="str">
        <x:f>INDEX(Requirements!$B$2:$B$28,MATCH(A12,Requirements!$A$2:$A$28,0))</x:f>
        <x:v>Allow staff to record comments, actions and resolution notes against a request.</x:v>
      </x:c>
    </x:row>
    <x:row r="13" ht="95" customHeight="1">
      <x:c r="A13" s="6" t="str">
        <x:v>FR-012</x:v>
      </x:c>
      <x:c r="B13" s="6" t="str">
        <x:v>Resolve and close requests</x:v>
      </x:c>
      <x:c r="C13" s="6" t="str">
        <x:v>Staff; PED §2.1.1; MB §3 Staff</x:v>
      </x:c>
      <x:c r="D13" s="6" t="str">
        <x:v>SR-IN-12</x:v>
      </x:c>
      <x:c r="E13" s="6" t="str">
        <x:f>INDEX(Requirements!$C$2:$C$28,MATCH(A13,Requirements!$A$2:$A$28,0))</x:f>
        <x:v>High</x:v>
      </x:c>
      <x:c r="F13" s="6" t="str">
        <x:v>AC-FR-012-1; AC-FR-012-2</x:v>
      </x:c>
      <x:c r="G13" s="6" t="str">
        <x:v>ADR-M2-02; ADR-M2-03; ADR-M2-04; ADR-M2-05; ADR-M2-06; docs/decisions/README.md</x:v>
      </x:c>
      <x:c r="H13" s="6" t="str">
        <x:v>Planned. Design source PR #10 (architecture) / #11 (data/technology); no application implementation for this row.</x:v>
      </x:c>
      <x:c r="I13" s="6" t="str">
        <x:v>Resolve/close routes and tests pending</x:v>
      </x:c>
      <x:c r="J13" s="6" t="str">
        <x:v>M2 consolidation 2026-09-30; requirement/AC unchanged</x:v>
      </x:c>
      <x:c r="K13" s="6" t="str">
        <x:v>No release evidence</x:v>
      </x:c>
      <x:c r="L13" s="6" t="str">
        <x:v>Planned</x:v>
      </x:c>
      <x:c r="M13" s="15" t="str">
        <x:v>Integrity; access isolation</x:v>
      </x:c>
      <x:c r="N13" s="15" t="str">
        <x:v>Resolution/closure use case (planned)</x:v>
      </x:c>
      <x:c r="O13" s="15" t="str">
        <x:v>Status and required resolution note/history in transaction</x:v>
      </x:c>
      <x:c r="P13" s="15" t="str">
        <x:v>ADR-M2-04: ASP.NET Core MVC/Razor; EF Core/PostgreSQL selected, adapter not built</x:v>
      </x:c>
      <x:c r="Q13" s="15" t="str">
        <x:v>R-011; R-027</x:v>
      </x:c>
      <x:c r="R13" s="15" t="str">
        <x:f>INDEX(Requirements!$B$2:$B$28,MATCH(A13,Requirements!$A$2:$A$28,0))</x:f>
        <x:v>Allow authorised staff to resolve and close requests.</x:v>
      </x:c>
    </x:row>
    <x:row r="14" ht="95" customHeight="1">
      <x:c r="A14" s="3" t="str">
        <x:v>FR-013</x:v>
      </x:c>
      <x:c r="B14" s="3" t="str">
        <x:v>Service activity summary</x:v>
      </x:c>
      <x:c r="C14" s="3" t="str">
        <x:v>Management; PED §1.2, §2.1.1; MB §3 Management</x:v>
      </x:c>
      <x:c r="D14" s="3" t="str">
        <x:v>SR-IN-13</x:v>
      </x:c>
      <x:c r="E14" s="3" t="str">
        <x:f>INDEX(Requirements!$C$2:$C$28,MATCH(A14,Requirements!$A$2:$A$28,0))</x:f>
        <x:v>Medium</x:v>
      </x:c>
      <x:c r="F14" s="3" t="str">
        <x:v>AC-FR-013-1; AC-FR-013-2</x:v>
      </x:c>
      <x:c r="G14" s="3" t="str">
        <x:v>ADR-M2-03; ADR-M2-04; ADR-M2-05; ADR-M2-06; docs/decisions/README.md</x:v>
      </x:c>
      <x:c r="H14" s="3" t="str">
        <x:v>Planned. Design source PR #10 (architecture) / #11 (data/technology); no application implementation for this row.</x:v>
      </x:c>
      <x:c r="I14" s="3" t="str">
        <x:v>No report implementation</x:v>
      </x:c>
      <x:c r="J14" s="3" t="str">
        <x:v>M2 consolidation 2026-09-30; requirement/AC unchanged</x:v>
      </x:c>
      <x:c r="K14" s="3" t="str">
        <x:v>No release evidence</x:v>
      </x:c>
      <x:c r="L14" s="3" t="str">
        <x:v>Planned</x:v>
      </x:c>
      <x:c r="M14" s="14" t="str">
        <x:v>Pilot performance; access isolation</x:v>
      </x:c>
      <x:c r="N14" s="14" t="str">
        <x:v>Management reporting (planned)</x:v>
      </x:c>
      <x:c r="O14" s="14" t="str">
        <x:v>Aggregate status/open/overdue queries</x:v>
      </x:c>
      <x:c r="P14" s="14" t="str">
        <x:v>ADR-M2-04: ASP.NET Core MVC/Razor; EF Core/PostgreSQL selected, adapter not built</x:v>
      </x:c>
      <x:c r="Q14" s="14" t="str">
        <x:v>R-014; R-016</x:v>
      </x:c>
      <x:c r="R14" s="14" t="str">
        <x:f>INDEX(Requirements!$B$2:$B$28,MATCH(A14,Requirements!$A$2:$A$28,0))</x:f>
        <x:v>Allow management to view counts of open, overdue, resolved and closed requests.</x:v>
      </x:c>
    </x:row>
    <x:row r="15" ht="95" customHeight="1">
      <x:c r="A15" s="6" t="str">
        <x:v>FR-014</x:v>
      </x:c>
      <x:c r="B15" s="6" t="str">
        <x:v>Management category/status analysis</x:v>
      </x:c>
      <x:c r="C15" s="6" t="str">
        <x:v>Management; PED §2.1.1; MB §3 Management</x:v>
      </x:c>
      <x:c r="D15" s="6" t="str">
        <x:v>SR-IN-14</x:v>
      </x:c>
      <x:c r="E15" s="6" t="str">
        <x:f>INDEX(Requirements!$C$2:$C$28,MATCH(A15,Requirements!$A$2:$A$28,0))</x:f>
        <x:v>Medium</x:v>
      </x:c>
      <x:c r="F15" s="6" t="str">
        <x:v>AC-FR-014-1; AC-FR-014-2</x:v>
      </x:c>
      <x:c r="G15" s="6" t="str">
        <x:v>ADR-M2-03; ADR-M2-04; ADR-M2-05; ADR-M2-06; docs/decisions/README.md</x:v>
      </x:c>
      <x:c r="H15" s="6" t="str">
        <x:v>Planned. Design source PR #10 (architecture) / #11 (data/technology); no application implementation for this row.</x:v>
      </x:c>
      <x:c r="I15" s="6" t="str">
        <x:v>No grouping report implementation</x:v>
      </x:c>
      <x:c r="J15" s="6" t="str">
        <x:v>M2 consolidation 2026-09-30; requirement/AC unchanged</x:v>
      </x:c>
      <x:c r="K15" s="6" t="str">
        <x:v>No release evidence</x:v>
      </x:c>
      <x:c r="L15" s="6" t="str">
        <x:v>Planned</x:v>
      </x:c>
      <x:c r="M15" s="15" t="str">
        <x:v>Pilot performance; access isolation</x:v>
      </x:c>
      <x:c r="N15" s="15" t="str">
        <x:v>Management category/status report (planned)</x:v>
      </x:c>
      <x:c r="O15" s="15" t="str">
        <x:v>Aggregate Category/ServiceRequest grouping</x:v>
      </x:c>
      <x:c r="P15" s="15" t="str">
        <x:v>ADR-M2-04: ASP.NET Core MVC/Razor; EF Core/PostgreSQL selected, adapter not built</x:v>
      </x:c>
      <x:c r="Q15" s="15" t="str">
        <x:v>R-014; R-016</x:v>
      </x:c>
      <x:c r="R15" s="15" t="str">
        <x:f>INDEX(Requirements!$B$2:$B$28,MATCH(A15,Requirements!$A$2:$A$28,0))</x:f>
        <x:v>Allow management to view requests and counts by category and status.</x:v>
      </x:c>
    </x:row>
    <x:row r="16" ht="95" customHeight="1">
      <x:c r="A16" s="3" t="str">
        <x:v>FR-015</x:v>
      </x:c>
      <x:c r="B16" s="3" t="str">
        <x:v>Accountability and performance history</x:v>
      </x:c>
      <x:c r="C16" s="3" t="str">
        <x:v>Management; Staff; PED §1.2, §2.1.1; MB §3 Management</x:v>
      </x:c>
      <x:c r="D16" s="3" t="str">
        <x:v>SR-IN-15; SR-IN-11</x:v>
      </x:c>
      <x:c r="E16" s="3" t="str">
        <x:f>INDEX(Requirements!$C$2:$C$28,MATCH(A16,Requirements!$A$2:$A$28,0))</x:f>
        <x:v>High</x:v>
      </x:c>
      <x:c r="F16" s="3" t="str">
        <x:v>AC-FR-015-1; AC-FR-015-2</x:v>
      </x:c>
      <x:c r="G16" s="3" t="str">
        <x:v>ADR-M2-03; ADR-M2-04; ADR-M2-05; ADR-M2-06; docs/decisions/README.md</x:v>
      </x:c>
      <x:c r="H16" s="3" t="str">
        <x:v>Planned. Design source PR #10 (architecture) / #11 (data/technology); no application implementation for this row.</x:v>
      </x:c>
      <x:c r="I16" s="3" t="str">
        <x:v>No durable history/report implementation</x:v>
      </x:c>
      <x:c r="J16" s="3" t="str">
        <x:v>M2 consolidation 2026-09-30; requirement/AC unchanged</x:v>
      </x:c>
      <x:c r="K16" s="3" t="str">
        <x:v>No release evidence</x:v>
      </x:c>
      <x:c r="L16" s="3" t="str">
        <x:v>Planned</x:v>
      </x:c>
      <x:c r="M16" s="14" t="str">
        <x:v>Integrity; access isolation</x:v>
      </x:c>
      <x:c r="N16" s="14" t="str">
        <x:v>Accountability reporting (planned)</x:v>
      </x:c>
      <x:c r="O16" s="14" t="str">
        <x:v>Append-only RequestHistory actor/time/changes</x:v>
      </x:c>
      <x:c r="P16" s="14" t="str">
        <x:v>ADR-M2-04: ASP.NET Core MVC/Razor; EF Core/PostgreSQL selected, adapter not built</x:v>
      </x:c>
      <x:c r="Q16" s="14" t="str">
        <x:v>R-014</x:v>
      </x:c>
      <x:c r="R16" s="14" t="str">
        <x:f>INDEX(Requirements!$B$2:$B$28,MATCH(A16,Requirements!$A$2:$A$28,0))</x:f>
        <x:v>Keep request history to support accountability and basic performance reporting.</x:v>
      </x:c>
    </x:row>
    <x:row r="17" ht="95" customHeight="1">
      <x:c r="A17" s="6" t="str">
        <x:v>FR-016</x:v>
      </x:c>
      <x:c r="B17" s="6" t="str">
        <x:v>Authenticated role access</x:v>
      </x:c>
      <x:c r="C17" s="6" t="str">
        <x:v>Requester; Staff; Management; PED §2.2.3; §5.2 concern 1; MB §16</x:v>
      </x:c>
      <x:c r="D17" s="6" t="str">
        <x:v>Cross-cutting: SR-IN-03, 06, 08, 12-15</x:v>
      </x:c>
      <x:c r="E17" s="6" t="str">
        <x:f>INDEX(Requirements!$C$2:$C$28,MATCH(A17,Requirements!$A$2:$A$28,0))</x:f>
        <x:v>High</x:v>
      </x:c>
      <x:c r="F17" s="6" t="str">
        <x:v>AC-FR-016-1; AC-FR-016-2</x:v>
      </x:c>
      <x:c r="G17" s="6" t="str">
        <x:v>ADR-M2-01; ADR-M2-03; ADR-M2-04; ADR-M2-05; ADR-M2-06; docs/decisions/README.md</x:v>
      </x:c>
      <x:c r="H17" s="6" t="str">
        <x:v>Local: src/CivicConnect.Web/; tests/CivicConnect.Verification/Program.cs. Cameron M2 PR not created.</x:v>
      </x:c>
      <x:c r="I17" s="6" t="str">
        <x:v>S07-S12; H02/H03/H11; no real login or complete role routes; docs/evidence/local-verification.txt</x:v>
      </x:c>
      <x:c r="J17" s="6" t="str">
        <x:v>M2 consolidation 2026-09-30; requirement/AC unchanged</x:v>
      </x:c>
      <x:c r="K17" s="6" t="str">
        <x:v>No release evidence</x:v>
      </x:c>
      <x:c r="L17" s="6" t="str">
        <x:v>In Development</x:v>
      </x:c>
      <x:c r="M17" s="15" t="str">
        <x:v>Access isolation</x:v>
      </x:c>
      <x:c r="N17" s="15" t="str">
        <x:v>Framework cookie gate and RequestAccessPolicy</x:v>
      </x:c>
      <x:c r="O17" s="15" t="str">
        <x:v>Trusted principal claims; user store/provisioning planned</x:v>
      </x:c>
      <x:c r="P17" s="15" t="str">
        <x:v>ADR-M2-04: ASP.NET Core MVC/Razor; EF Core/PostgreSQL selected, adapter not built</x:v>
      </x:c>
      <x:c r="Q17" s="15" t="str">
        <x:v>R-013; R-031; R-032</x:v>
      </x:c>
      <x:c r="R17" s="15" t="str">
        <x:f>INDEX(Requirements!$B$2:$B$28,MATCH(A17,Requirements!$A$2:$A$28,0))</x:f>
        <x:v>Authenticate users and apply Requester, Staff and Management permissions.</x:v>
      </x:c>
    </x:row>
    <x:row r="18" ht="95" customHeight="1">
      <x:c r="A18" s="3" t="str">
        <x:v>FR-017</x:v>
      </x:c>
      <x:c r="B18" s="3" t="str">
        <x:v>Request priority</x:v>
      </x:c>
      <x:c r="C18" s="3" t="str">
        <x:v>Staff; PED §2.1.1; MB §2 prioritisation need</x:v>
      </x:c>
      <x:c r="D18" s="3" t="str">
        <x:v>SR-IN-07; SR-IN-15</x:v>
      </x:c>
      <x:c r="E18" s="3" t="str">
        <x:f>INDEX(Requirements!$C$2:$C$28,MATCH(A18,Requirements!$A$2:$A$28,0))</x:f>
        <x:v>Medium</x:v>
      </x:c>
      <x:c r="F18" s="3" t="str">
        <x:v>AC-FR-017-1; AC-FR-017-2</x:v>
      </x:c>
      <x:c r="G18" s="3" t="str">
        <x:v>ADR-M2-03; ADR-M2-04; ADR-M2-05; ADR-M2-06; docs/decisions/README.md</x:v>
      </x:c>
      <x:c r="H18" s="3" t="str">
        <x:v>Planned. Design source PR #10 (architecture) / #11 (data/technology); no application implementation for this row.</x:v>
      </x:c>
      <x:c r="I18" s="3" t="str">
        <x:v>No priority mutation implementation</x:v>
      </x:c>
      <x:c r="J18" s="3" t="str">
        <x:v>M2 consolidation 2026-09-30; requirement/AC unchanged</x:v>
      </x:c>
      <x:c r="K18" s="3" t="str">
        <x:v>No release evidence</x:v>
      </x:c>
      <x:c r="L18" s="3" t="str">
        <x:v>Planned</x:v>
      </x:c>
      <x:c r="M18" s="14" t="str">
        <x:v>Integrity; access isolation</x:v>
      </x:c>
      <x:c r="N18" s="14" t="str">
        <x:v>Priority update service (planned)</x:v>
      </x:c>
      <x:c r="O18" s="14" t="str">
        <x:v>Controlled Low/Normal/High; default Normal</x:v>
      </x:c>
      <x:c r="P18" s="14" t="str">
        <x:v>ADR-M2-04: ASP.NET Core MVC/Razor; EF Core/PostgreSQL selected, adapter not built</x:v>
      </x:c>
      <x:c r="Q18" s="14" t="str">
        <x:v>R-036</x:v>
      </x:c>
      <x:c r="R18" s="14" t="str">
        <x:f>INDEX(Requirements!$B$2:$B$28,MATCH(A18,Requirements!$A$2:$A$28,0))</x:f>
        <x:v>Record a controlled priority for each request and allow authorised staff to change it.</x:v>
      </x:c>
    </x:row>
    <x:row r="19" ht="95" customHeight="1">
      <x:c r="A19" s="6" t="str">
        <x:v>FR-018</x:v>
      </x:c>
      <x:c r="B19" s="6" t="str">
        <x:v>Due dates and overdue identification</x:v>
      </x:c>
      <x:c r="C19" s="6" t="str">
        <x:v>Staff; Management; PED §2.1.1; MB §3 Management</x:v>
      </x:c>
      <x:c r="D19" s="6" t="str">
        <x:v>SR-IN-13; SR-IN-15</x:v>
      </x:c>
      <x:c r="E19" s="6" t="str">
        <x:f>INDEX(Requirements!$C$2:$C$28,MATCH(A19,Requirements!$A$2:$A$28,0))</x:f>
        <x:v>Medium</x:v>
      </x:c>
      <x:c r="F19" s="6" t="str">
        <x:v>AC-FR-018-1; AC-FR-018-2</x:v>
      </x:c>
      <x:c r="G19" s="6" t="str">
        <x:v>ADR-M2-02; ADR-M2-03; ADR-M2-04; ADR-M2-05; ADR-M2-06; docs/decisions/README.md</x:v>
      </x:c>
      <x:c r="H19" s="6" t="str">
        <x:v>Planned. Design source PR #10 (architecture) / #11 (data/technology); no application implementation for this row.</x:v>
      </x:c>
      <x:c r="I19" s="6" t="str">
        <x:v>No due-date/overdue implementation</x:v>
      </x:c>
      <x:c r="J19" s="6" t="str">
        <x:v>M2 consolidation 2026-09-30; requirement/AC unchanged</x:v>
      </x:c>
      <x:c r="K19" s="6" t="str">
        <x:v>No release evidence</x:v>
      </x:c>
      <x:c r="L19" s="6" t="str">
        <x:v>Planned</x:v>
      </x:c>
      <x:c r="M19" s="15" t="str">
        <x:v>Integrity; pilot performance</x:v>
      </x:c>
      <x:c r="N19" s="15" t="str">
        <x:v>Due-date service and overdue query (planned)</x:v>
      </x:c>
      <x:c r="O19" s="15" t="str">
        <x:v>Open states plus DueDate &lt; now; null not overdue</x:v>
      </x:c>
      <x:c r="P19" s="15" t="str">
        <x:v>ADR-M2-04: ASP.NET Core MVC/Razor; EF Core/PostgreSQL selected, adapter not built</x:v>
      </x:c>
      <x:c r="Q19" s="15" t="str">
        <x:v>R-014</x:v>
      </x:c>
      <x:c r="R19" s="15" t="str">
        <x:f>INDEX(Requirements!$B$2:$B$28,MATCH(A19,Requirements!$A$2:$A$28,0))</x:f>
        <x:v>Allow staff to record due dates and identify overdue requests.</x:v>
      </x:c>
    </x:row>
    <x:row r="20" ht="95" customHeight="1">
      <x:c r="A20" s="3" t="str">
        <x:v>NFR-001</x:v>
      </x:c>
      <x:c r="B20" s="3" t="str">
        <x:v>Access-control isolation</x:v>
      </x:c>
      <x:c r="C20" s="3" t="str">
        <x:v>Requester; Staff; Management; PED §2.2.2 Security; R-004; MB §16</x:v>
      </x:c>
      <x:c r="D20" s="3" t="str">
        <x:v>Cross-cutting: all protected scope</x:v>
      </x:c>
      <x:c r="E20" s="3" t="str">
        <x:f>INDEX(Requirements!$C$2:$C$28,MATCH(A20,Requirements!$A$2:$A$28,0))</x:f>
        <x:v>High</x:v>
      </x:c>
      <x:c r="F20" s="3" t="str">
        <x:v>AC-NFR-001-1; AC-NFR-001-2</x:v>
      </x:c>
      <x:c r="G20" s="3" t="str">
        <x:v>ADR-M2-01; ADR-M2-03; ADR-M2-04; ADR-M2-05; ADR-M2-06; docs/decisions/README.md</x:v>
      </x:c>
      <x:c r="H20" s="3" t="str">
        <x:v>Local: src/CivicConnect.Web/; tests/CivicConnect.Verification/Program.cs. Cameron M2 PR not created.</x:v>
      </x:c>
      <x:c r="I20" s="3" t="str">
        <x:v>S02-S12; H02-H09/H11; read subset only, no full access matrix pass; docs/evidence/local-verification.txt</x:v>
      </x:c>
      <x:c r="J20" s="3" t="str">
        <x:v>M2 consolidation 2026-09-30; requirement/AC unchanged</x:v>
      </x:c>
      <x:c r="K20" s="3" t="str">
        <x:v>No release evidence</x:v>
      </x:c>
      <x:c r="L20" s="3" t="str">
        <x:v>In Development</x:v>
      </x:c>
      <x:c r="M20" s="14" t="str">
        <x:v>Access isolation</x:v>
      </x:c>
      <x:c r="N20" s="14" t="str">
        <x:v>RequestAccessPolicy and DTO projection</x:v>
      </x:c>
      <x:c r="O20" s="14" t="str">
        <x:v>Ownership/category/visibility; persistent permissions pending</x:v>
      </x:c>
      <x:c r="P20" s="14" t="str">
        <x:v>ADR-M2-04: ASP.NET Core MVC/Razor; EF Core/PostgreSQL selected, adapter not built</x:v>
      </x:c>
      <x:c r="Q20" s="14" t="str">
        <x:v>R-013; R-017; R-032</x:v>
      </x:c>
      <x:c r="R20" s="14" t="str">
        <x:f>INDEX(Requirements!$B$2:$B$28,MATCH(A20,Requirements!$A$2:$A$28,0))</x:f>
        <x:v>Protect requests using role and record-level access controls.</x:v>
      </x:c>
    </x:row>
    <x:row r="21" ht="95" customHeight="1">
      <x:c r="A21" s="6" t="str">
        <x:v>NFR-002</x:v>
      </x:c>
      <x:c r="B21" s="6" t="str">
        <x:v>Pilot response time</x:v>
      </x:c>
      <x:c r="C21" s="6" t="str">
        <x:v>Requester; Staff; Management; PED A-03, §2.2.2 Quality/Cost; §5.2 concern 3; MB §4</x:v>
      </x:c>
      <x:c r="D21" s="6" t="str">
        <x:v>SR-IN-01; SR-IN-03; SR-IN-07; SR-IN-13</x:v>
      </x:c>
      <x:c r="E21" s="6" t="str">
        <x:f>INDEX(Requirements!$C$2:$C$28,MATCH(A21,Requirements!$A$2:$A$28,0))</x:f>
        <x:v>Medium</x:v>
      </x:c>
      <x:c r="F21" s="6" t="str">
        <x:v>AC-NFR-002-1; AC-NFR-002-2</x:v>
      </x:c>
      <x:c r="G21" s="6" t="str">
        <x:v>ADR-M2-01; ADR-M2-03; ADR-M2-04; docs/decisions/README.md</x:v>
      </x:c>
      <x:c r="H21" s="6" t="str">
        <x:v>Planned. Design source PR #10 (architecture) / #11 (data/technology); no application implementation for this row.</x:v>
      </x:c>
      <x:c r="I21" s="6" t="str">
        <x:v>Original load and timing targets unchanged; no measurements</x:v>
      </x:c>
      <x:c r="J21" s="6" t="str">
        <x:v>M2 consolidation 2026-09-30; requirement/AC unchanged</x:v>
      </x:c>
      <x:c r="K21" s="6" t="str">
        <x:v>No release evidence</x:v>
      </x:c>
      <x:c r="L21" s="6" t="str">
        <x:v>Planned</x:v>
      </x:c>
      <x:c r="M21" s="15" t="str">
        <x:v>Pilot performance</x:v>
      </x:c>
      <x:c r="N21" s="15" t="str">
        <x:v>Single application; later load harness</x:v>
      </x:c>
      <x:c r="O21" s="15" t="str">
        <x:v>Indexes/pooling/data volume to verify</x:v>
      </x:c>
      <x:c r="P21" s="15" t="str">
        <x:v>ADR-M2-04: ASP.NET Core MVC/Razor; EF Core/PostgreSQL selected, adapter not built</x:v>
      </x:c>
      <x:c r="Q21" s="15" t="str">
        <x:v>R-016; R-022</x:v>
      </x:c>
      <x:c r="R21" s="15" t="str">
        <x:f>INDEX(Requirements!$B$2:$B$28,MATCH(A21,Requirements!$A$2:$A$28,0))</x:f>
        <x:v>Complete at least 95% of submissions, status views, staff searches and management summaries within 3 seconds at pilot load, with at most 1% failures.</x:v>
      </x:c>
    </x:row>
    <x:row r="22" ht="95" customHeight="1">
      <x:c r="A22" s="3" t="str">
        <x:v>NFR-003</x:v>
      </x:c>
      <x:c r="B22" s="3" t="str">
        <x:v>Data integrity on save</x:v>
      </x:c>
      <x:c r="C22" s="3" t="str">
        <x:v>Requester; Staff; Management; PED §1.1; §7.1.2; MB §15</x:v>
      </x:c>
      <x:c r="D22" s="3" t="str">
        <x:v>SR-IN-01; SR-IN-09-12; SR-IN-15</x:v>
      </x:c>
      <x:c r="E22" s="3" t="str">
        <x:f>INDEX(Requirements!$C$2:$C$28,MATCH(A22,Requirements!$A$2:$A$28,0))</x:f>
        <x:v>High</x:v>
      </x:c>
      <x:c r="F22" s="3" t="str">
        <x:v>AC-NFR-003-1; AC-NFR-003-2</x:v>
      </x:c>
      <x:c r="G22" s="3" t="str">
        <x:v>ADR-M2-02; ADR-M2-03; ADR-M2-04; ADR-M2-06; docs/decisions/README.md</x:v>
      </x:c>
      <x:c r="H22" s="3" t="str">
        <x:v>Planned. Design source PR #10 (architecture) / #11 (data/technology); no application implementation for this row.</x:v>
      </x:c>
      <x:c r="I22" s="3" t="str">
        <x:v>Fixture has no persistence; restart/double-click/rollback checks pending</x:v>
      </x:c>
      <x:c r="J22" s="3" t="str">
        <x:v>M2 consolidation 2026-09-30; requirement/AC unchanged</x:v>
      </x:c>
      <x:c r="K22" s="3" t="str">
        <x:v>No release evidence</x:v>
      </x:c>
      <x:c r="L22" s="3" t="str">
        <x:v>Planned</x:v>
      </x:c>
      <x:c r="M22" s="14" t="str">
        <x:v>Integrity</x:v>
      </x:c>
      <x:c r="N22" s="14" t="str">
        <x:v>Future transaction coordinator</x:v>
      </x:c>
      <x:c r="O22" s="14" t="str">
        <x:v>Request/history/feedback atomicity; concurrency and idempotency</x:v>
      </x:c>
      <x:c r="P22" s="14" t="str">
        <x:v>ADR-M2-04: ASP.NET Core MVC/Razor; EF Core/PostgreSQL selected, adapter not built</x:v>
      </x:c>
      <x:c r="Q22" s="14" t="str">
        <x:v>R-015</x:v>
      </x:c>
      <x:c r="R22" s="14" t="str">
        <x:f>INDEX(Requirements!$B$2:$B$28,MATCH(A22,Requirements!$A$2:$A$28,0))</x:f>
        <x:v>Save request data and its history together without partial updates.</x:v>
      </x:c>
    </x:row>
    <x:row r="23" ht="95" customHeight="1">
      <x:c r="A23" s="6" t="str">
        <x:v>NFR-004</x:v>
      </x:c>
      <x:c r="B23" s="6" t="str">
        <x:v>Requester usability</x:v>
      </x:c>
      <x:c r="C23" s="6" t="str">
        <x:v>Requester; PED §1.2, A-01; MB §5</x:v>
      </x:c>
      <x:c r="D23" s="6" t="str">
        <x:v>SR-IN-01; SR-IN-03; SR-IN-04</x:v>
      </x:c>
      <x:c r="E23" s="6" t="str">
        <x:f>INDEX(Requirements!$C$2:$C$28,MATCH(A23,Requirements!$A$2:$A$28,0))</x:f>
        <x:v>Medium</x:v>
      </x:c>
      <x:c r="F23" s="6" t="str">
        <x:v>AC-NFR-004-1; AC-NFR-004-2</x:v>
      </x:c>
      <x:c r="G23" s="6" t="str">
        <x:v>ADR-M2-01; ADR-M2-04; docs/decisions/README.md</x:v>
      </x:c>
      <x:c r="H23" s="6" t="str">
        <x:v>Planned. Design source PR #10 (architecture) / #11 (data/technology); no application implementation for this row.</x:v>
      </x:c>
      <x:c r="I23" s="6" t="str">
        <x:v>No representative participant evaluation</x:v>
      </x:c>
      <x:c r="J23" s="6" t="str">
        <x:v>M2 consolidation 2026-09-30; requirement/AC unchanged</x:v>
      </x:c>
      <x:c r="K23" s="6" t="str">
        <x:v>No release evidence</x:v>
      </x:c>
      <x:c r="L23" s="6" t="str">
        <x:v>Planned</x:v>
      </x:c>
      <x:c r="M23" s="15" t="str">
        <x:v>Usability supports pilot scope</x:v>
      </x:c>
      <x:c r="N23" s="15" t="str">
        <x:v>Future requester UI</x:v>
      </x:c>
      <x:c r="O23" s="15" t="str">
        <x:v>No additional data decision</x:v>
      </x:c>
      <x:c r="P23" s="15" t="str">
        <x:v>ADR-M2-04: ASP.NET Core MVC/Razor; EF Core/PostgreSQL selected, adapter not built</x:v>
      </x:c>
      <x:c r="Q23" s="15" t="str">
        <x:v>R-021</x:v>
      </x:c>
      <x:c r="R23" s="15" t="str">
        <x:f>INDEX(Requirements!$B$2:$B$28,MATCH(A23,Requirements!$A$2:$A$28,0))</x:f>
        <x:v>Make request submission and status checking easy for users with basic digital skills.</x:v>
      </x:c>
    </x:row>
    <x:row r="24" ht="95" customHeight="1">
      <x:c r="A24" s="3" t="str">
        <x:v>NFR-005</x:v>
      </x:c>
      <x:c r="B24" s="3" t="str">
        <x:v>Responsive and keyboard-usable interface</x:v>
      </x:c>
      <x:c r="C24" s="3" t="str">
        <x:v>Requester; Staff; Management; PED §2.1.2; A-01; MB §5, §15</x:v>
      </x:c>
      <x:c r="D24" s="3" t="str">
        <x:v>Cross-cutting; responsive web scope</x:v>
      </x:c>
      <x:c r="E24" s="3" t="str">
        <x:f>INDEX(Requirements!$C$2:$C$28,MATCH(A24,Requirements!$A$2:$A$28,0))</x:f>
        <x:v>Medium</x:v>
      </x:c>
      <x:c r="F24" s="3" t="str">
        <x:v>AC-NFR-005-1; AC-NFR-005-2</x:v>
      </x:c>
      <x:c r="G24" s="3" t="str">
        <x:v>ADR-M2-01; ADR-M2-04; docs/decisions/README.md</x:v>
      </x:c>
      <x:c r="H24" s="3" t="str">
        <x:v>Planned. Design source PR #10 (architecture) / #11 (data/technology); no application implementation for this row.</x:v>
      </x:c>
      <x:c r="I24" s="3" t="str">
        <x:v>Landing exists; viewport/keyboard/core-route acceptance pending</x:v>
      </x:c>
      <x:c r="J24" s="3" t="str">
        <x:v>M2 consolidation 2026-09-30; requirement/AC unchanged</x:v>
      </x:c>
      <x:c r="K24" s="3" t="str">
        <x:v>No release evidence</x:v>
      </x:c>
      <x:c r="L24" s="3" t="str">
        <x:v>Planned</x:v>
      </x:c>
      <x:c r="M24" s="14" t="str">
        <x:v>Accessibility/responsive presentation</x:v>
      </x:c>
      <x:c r="N24" s="14" t="str">
        <x:v>Razor landing; future functional views</x:v>
      </x:c>
      <x:c r="O24" s="14" t="str">
        <x:v>No additional data decision</x:v>
      </x:c>
      <x:c r="P24" s="14" t="str">
        <x:v>ADR-M2-04: ASP.NET Core MVC/Razor; EF Core/PostgreSQL selected, adapter not built</x:v>
      </x:c>
      <x:c r="Q24" s="14" t="str">
        <x:v>R-021</x:v>
      </x:c>
      <x:c r="R24" s="14" t="str">
        <x:f>INDEX(Requirements!$B$2:$B$28,MATCH(A24,Requirements!$A$2:$A$28,0))</x:f>
        <x:v>Provide a responsive web interface that supports keyboard use.</x:v>
      </x:c>
    </x:row>
    <x:row r="25" ht="95" customHeight="1">
      <x:c r="A25" s="6" t="str">
        <x:v>NFR-006</x:v>
      </x:c>
      <x:c r="B25" s="6" t="str">
        <x:v>Protected data in transit</x:v>
      </x:c>
      <x:c r="C25" s="6" t="str">
        <x:v>Requester; Staff; Management; PED §2.2.2 Security; §5.2 concern 6; MB §16</x:v>
      </x:c>
      <x:c r="D25" s="6" t="str">
        <x:v>Cross-cutting: protected product data</x:v>
      </x:c>
      <x:c r="E25" s="6" t="str">
        <x:f>INDEX(Requirements!$C$2:$C$28,MATCH(A25,Requirements!$A$2:$A$28,0))</x:f>
        <x:v>High</x:v>
      </x:c>
      <x:c r="F25" s="6" t="str">
        <x:v>AC-NFR-006-1; AC-NFR-006-2</x:v>
      </x:c>
      <x:c r="G25" s="6" t="str">
        <x:v>ADR-M2-01; ADR-M2-03; ADR-M2-04; ADR-M2-06; docs/decisions/README.md</x:v>
      </x:c>
      <x:c r="H25" s="6" t="str">
        <x:v>Planned. Design source PR #10 (architecture) / #11 (data/technology); no application implementation for this row.</x:v>
      </x:c>
      <x:c r="I25" s="6" t="str">
        <x:v>Loopback HTTP tests do not validate deployed TLS</x:v>
      </x:c>
      <x:c r="J25" s="6" t="str">
        <x:v>M2 consolidation 2026-09-30; requirement/AC unchanged</x:v>
      </x:c>
      <x:c r="K25" s="6" t="str">
        <x:v>No release evidence</x:v>
      </x:c>
      <x:c r="L25" s="6" t="str">
        <x:v>Planned</x:v>
      </x:c>
      <x:c r="M25" s="15" t="str">
        <x:v>Secure deployment constraint</x:v>
      </x:c>
      <x:c r="N25" s="15" t="str">
        <x:v>Future HTTPS host and cookie deployment</x:v>
      </x:c>
      <x:c r="O25" s="15" t="str">
        <x:v>TLS for protected HTTP and database traffic</x:v>
      </x:c>
      <x:c r="P25" s="15" t="str">
        <x:v>ADR-M2-04: ASP.NET Core MVC/Razor; EF Core/PostgreSQL selected, adapter not built</x:v>
      </x:c>
      <x:c r="Q25" s="15" t="str">
        <x:v>R-033</x:v>
      </x:c>
      <x:c r="R25" s="15" t="str">
        <x:f>INDEX(Requirements!$B$2:$B$28,MATCH(A25,Requirements!$A$2:$A$28,0))</x:f>
        <x:v>Use HTTPS to protect authentication and request data in deployed environments.</x:v>
      </x:c>
    </x:row>
    <x:row r="26" ht="95" customHeight="1">
      <x:c r="A26" s="3" t="str">
        <x:v>NFR-007</x:v>
      </x:c>
      <x:c r="B26" s="3" t="str">
        <x:v>Recoverable request records</x:v>
      </x:c>
      <x:c r="C26" s="3" t="str">
        <x:v>Project team; Management; PED §5.2 concern 7; §7.1; MB §17</x:v>
      </x:c>
      <x:c r="D26" s="3" t="str">
        <x:v>Cross-cutting: retained request/history data</x:v>
      </x:c>
      <x:c r="E26" s="3" t="str">
        <x:f>INDEX(Requirements!$C$2:$C$28,MATCH(A26,Requirements!$A$2:$A$28,0))</x:f>
        <x:v>Medium</x:v>
      </x:c>
      <x:c r="F26" s="3" t="str">
        <x:v>AC-NFR-007-1; AC-NFR-007-2</x:v>
      </x:c>
      <x:c r="G26" s="3" t="str">
        <x:v>ADR-M2-03; ADR-M2-04; docs/decisions/README.md</x:v>
      </x:c>
      <x:c r="H26" s="3" t="str">
        <x:v>Planned. Design source PR #10 (architecture) / #11 (data/technology); no application implementation for this row.</x:v>
      </x:c>
      <x:c r="I26" s="3" t="str">
        <x:v>RPO/RTO targets retained; no restore evidence</x:v>
      </x:c>
      <x:c r="J26" s="3" t="str">
        <x:v>M2 consolidation 2026-09-30; requirement/AC unchanged</x:v>
      </x:c>
      <x:c r="K26" s="3" t="str">
        <x:v>No release evidence</x:v>
      </x:c>
      <x:c r="L26" s="3" t="str">
        <x:v>Planned</x:v>
      </x:c>
      <x:c r="M26" s="14" t="str">
        <x:v>Recovery constraint</x:v>
      </x:c>
      <x:c r="N26" s="14" t="str">
        <x:v>Future backup/restore process</x:v>
      </x:c>
      <x:c r="O26" s="14" t="str">
        <x:v>PostgreSQL backup and timed restore</x:v>
      </x:c>
      <x:c r="P26" s="14" t="str">
        <x:v>ADR-M2-04: ASP.NET Core MVC/Razor; EF Core/PostgreSQL selected, adapter not built</x:v>
      </x:c>
      <x:c r="Q26" s="14" t="str">
        <x:v>R-018; R-040</x:v>
      </x:c>
      <x:c r="R26" s="14" t="str">
        <x:f>INDEX(Requirements!$B$2:$B$28,MATCH(A26,Requirements!$A$2:$A$28,0))</x:f>
        <x:v>Support recovery with no more than 24 hours of lost data and restoration within four hours.</x:v>
      </x:c>
    </x:row>
    <x:row r="27" ht="95" customHeight="1">
      <x:c r="A27" s="6" t="str">
        <x:v>NFR-008</x:v>
      </x:c>
      <x:c r="B27" s="6" t="str">
        <x:v>Privacy of logs and errors</x:v>
      </x:c>
      <x:c r="C27" s="6" t="str">
        <x:v>Requester; Staff; Management; PED §5.2 concern 6; R-004, R-005; MB §16</x:v>
      </x:c>
      <x:c r="D27" s="6" t="str">
        <x:v>Cross-cutting: restricted information</x:v>
      </x:c>
      <x:c r="E27" s="6" t="str">
        <x:f>INDEX(Requirements!$C$2:$C$28,MATCH(A27,Requirements!$A$2:$A$28,0))</x:f>
        <x:v>High</x:v>
      </x:c>
      <x:c r="F27" s="6" t="str">
        <x:v>AC-NFR-008-1; AC-NFR-008-2</x:v>
      </x:c>
      <x:c r="G27" s="6" t="str">
        <x:v>ADR-M2-01; ADR-M2-04; ADR-M2-05; ADR-M2-06; docs/decisions/README.md</x:v>
      </x:c>
      <x:c r="H27" s="6" t="str">
        <x:v>Local: src/CivicConnect.Web/; tests/CivicConnect.Verification/Program.cs. Cameron M2 PR not created.</x:v>
      </x:c>
      <x:c r="I27" s="6" t="str">
        <x:v>H05/H12/H13 passed; production log/secrets audit pending; docs/evidence/local-verification.txt</x:v>
      </x:c>
      <x:c r="J27" s="6" t="str">
        <x:v>M2 consolidation 2026-09-30; requirement/AC unchanged</x:v>
      </x:c>
      <x:c r="K27" s="6" t="str">
        <x:v>No release evidence</x:v>
      </x:c>
      <x:c r="L27" s="6" t="str">
        <x:v>In Development</x:v>
      </x:c>
      <x:c r="M27" s="15" t="str">
        <x:v>Privacy and failure behaviour</x:v>
      </x:c>
      <x:c r="N27" s="15" t="str">
        <x:v>Safe error middleware; no private payload logging</x:v>
      </x:c>
      <x:c r="O27" s="15" t="str">
        <x:v>Filtered DTO; generic exception handling</x:v>
      </x:c>
      <x:c r="P27" s="15" t="str">
        <x:v>ADR-M2-04: ASP.NET Core MVC/Razor; EF Core/PostgreSQL selected, adapter not built</x:v>
      </x:c>
      <x:c r="Q27" s="15" t="str">
        <x:v>R-034; R-035</x:v>
      </x:c>
      <x:c r="R27" s="15" t="str">
        <x:f>INDEX(Requirements!$B$2:$B$28,MATCH(A27,Requirements!$A$2:$A$28,0))</x:f>
        <x:v>Keep sensitive information out of application logs and error messages.</x:v>
      </x:c>
    </x:row>
    <x:row r="28" ht="95" customHeight="1">
      <x:c r="A28" s="3" t="str">
        <x:v>NFR-009</x:v>
      </x:c>
      <x:c r="B28" s="3" t="str">
        <x:v>Testability of core business rules</x:v>
      </x:c>
      <x:c r="C28" s="3" t="str">
        <x:v>Project team; PED §5.2 concern 4; MB §15; M1 §4</x:v>
      </x:c>
      <x:c r="D28" s="3" t="str">
        <x:v>Cross-cutting: core request lifecycle</x:v>
      </x:c>
      <x:c r="E28" s="3" t="str">
        <x:f>INDEX(Requirements!$C$2:$C$28,MATCH(A28,Requirements!$A$2:$A$28,0))</x:f>
        <x:v>High</x:v>
      </x:c>
      <x:c r="F28" s="3" t="str">
        <x:v>AC-NFR-009-1; AC-NFR-009-2</x:v>
      </x:c>
      <x:c r="G28" s="3" t="str">
        <x:v>ADR-M2-01; ADR-M2-04; ADR-M2-05; ADR-M2-06; ADR-M2-07; docs/decisions/README.md</x:v>
      </x:c>
      <x:c r="H28" s="3" t="str">
        <x:v>Local: src/CivicConnect.Web/; tests/CivicConnect.Verification/Program.cs. Cameron M2 PR not created.</x:v>
      </x:c>
      <x:c r="I28" s="3" t="str">
        <x:v>29 local checks passed; remaining core rules not implemented; docs/evidence/local-verification.txt</x:v>
      </x:c>
      <x:c r="J28" s="3" t="str">
        <x:v>M2 consolidation 2026-09-30; requirement/AC unchanged</x:v>
      </x:c>
      <x:c r="K28" s="3" t="str">
        <x:v>No release evidence</x:v>
      </x:c>
      <x:c r="L28" s="3" t="str">
        <x:v>In Development</x:v>
      </x:c>
      <x:c r="M28" s="14" t="str">
        <x:v>Testability</x:v>
      </x:c>
      <x:c r="N28" s="14" t="str">
        <x:v>Injected reader/policy; verification executable</x:v>
      </x:c>
      <x:c r="O28" s="14" t="str">
        <x:v>Synthetic data with controlled store fault</x:v>
      </x:c>
      <x:c r="P28" s="14" t="str">
        <x:v>ADR-M2-04: ASP.NET Core MVC/Razor; EF Core/PostgreSQL selected, adapter not built</x:v>
      </x:c>
      <x:c r="Q28" s="14" t="str">
        <x:v>R-009; R-038</x:v>
      </x:c>
      <x:c r="R28" s="14" t="str">
        <x:f>INDEX(Requirements!$B$2:$B$28,MATCH(A28,Requirements!$A$2:$A$28,0))</x:f>
        <x:v>Allow core request rules to be tested with controlled data in a separate test environment.</x:v>
      </x:c>
    </x:row>
    <x:row r="31" ht="45" customHeight="1">
      <x:c r="A31" s="8" t="str">
        <x:v>Source key</x:v>
      </x:c>
      <x:c r="B31" s="8" t="str">
        <x:v>PED = supplied PED1, sections 1.2 and 2.1–2.2. MB = SEN381 CivicConnect Master Project Brief, sections 3 and 11.</x:v>
      </x:c>
      <x:c r="C31" s="12"/>
      <x:c r="D31" s="12"/>
      <x:c r="E31" s="12"/>
      <x:c r="F31" s="12"/>
      <x:c r="G31" s="12"/>
      <x:c r="H31" s="12"/>
      <x:c r="I31" s="12"/>
      <x:c r="J31" s="12"/>
      <x:c r="K31" s="12"/>
      <x:c r="L31" s="12"/>
    </x:row>
    <x:row r="32" ht="45" customHeight="1">
      <x:c r="A32" s="8" t="str">
        <x:v>RTM format</x:v>
      </x:c>
      <x:c r="B32" s="8" t="str">
        <x:v>M2 evolution: M1 requirements and ACs retained; M2 architecture/data/technology/design and local evidence added. Supporting research is in ADRs.</x:v>
      </x:c>
      <x:c r="C32" s="12"/>
      <x:c r="D32" s="12"/>
      <x:c r="E32" s="12"/>
      <x:c r="F32" s="12"/>
      <x:c r="G32" s="12"/>
      <x:c r="H32" s="12"/>
      <x:c r="I32" s="12"/>
      <x:c r="J32" s="12"/>
      <x:c r="K32" s="12"/>
      <x:c r="L32" s="12"/>
    </x:row>
    <x:row r="33" ht="45" customHeight="1">
      <x:c r="A33" s="8" t="str">
        <x:v>Status</x:v>
      </x:c>
      <x:c r="B33" s="8" t="str">
        <x:v>Planned = no working implementation. In Development = partial local evidence; not full acceptance. No requirement marked Verified. Team baseline approval pending.</x:v>
      </x:c>
      <x:c r="C33" s="12"/>
      <x:c r="D33" s="12"/>
      <x:c r="E33" s="12"/>
      <x:c r="F33" s="12"/>
      <x:c r="G33" s="12"/>
      <x:c r="H33" s="12"/>
      <x:c r="I33" s="12"/>
      <x:c r="J33" s="12"/>
      <x:c r="K33" s="12"/>
      <x:c r="L33" s="12"/>
    </x:row>
    <x:row r="34" ht="45" customHeight="1">
      <x:c r="A34" s="8" t="str">
        <x:v>Maintenance</x:v>
      </x:c>
      <x:c r="B34" s="8" t="str">
        <x:v>Keep requirement IDs stable. Update affected acceptance criteria and trace links when a change is approved. Add actual evidence links as work progresses.</x:v>
      </x:c>
      <x:c r="C34" s="12"/>
      <x:c r="D34" s="12"/>
      <x:c r="E34" s="12"/>
      <x:c r="F34" s="12"/>
      <x:c r="G34" s="12"/>
      <x:c r="H34" s="12"/>
      <x:c r="I34" s="12"/>
      <x:c r="J34" s="12"/>
      <x:c r="K34" s="12"/>
      <x:c r="L34" s="12"/>
    </x:row>
    <x:row r="35">
      <x:c r="A35" t="str">
        <x:v>Source PR 10</x:v>
      </x:c>
      <x:c r="B35" s="12" t="str">
        <x:v>https://github.com/Michael-Ellis819/Virtual_Group_K_SEN381_Project/pull/10</x:v>
      </x:c>
      <x:c r="C35" s="12"/>
      <x:c r="D35" s="12"/>
      <x:c r="E35" s="12"/>
      <x:c r="F35" s="12"/>
      <x:c r="G35" s="12"/>
      <x:c r="H35" s="12"/>
      <x:c r="I35" s="12"/>
      <x:c r="J35" s="12"/>
      <x:c r="K35" s="12"/>
      <x:c r="L35" s="12"/>
    </x:row>
    <x:row r="36">
      <x:c r="A36" t="str">
        <x:v>Source PR 11</x:v>
      </x:c>
      <x:c r="B36" s="12" t="str">
        <x:v>https://github.com/Michael-Ellis819/Virtual_Group_K_SEN381_Project/pull/11</x:v>
      </x:c>
      <x:c r="C36" s="12"/>
      <x:c r="D36" s="12"/>
      <x:c r="E36" s="12"/>
      <x:c r="F36" s="12"/>
      <x:c r="G36" s="12"/>
      <x:c r="H36" s="12"/>
      <x:c r="I36" s="12"/>
      <x:c r="J36" s="12"/>
      <x:c r="K36" s="12"/>
      <x:c r="L36" s="12"/>
    </x:row>
    <x:row r="37">
      <x:c r="A37" t="str">
        <x:v>M1 history</x:v>
      </x:c>
      <x:c r="B37" s="12" t="str">
        <x:v>https://github.com/Michael-Ellis819/Virtual_Group_K_SEN381_Project/pull/3</x:v>
      </x:c>
      <x:c r="C37" s="12"/>
      <x:c r="D37" s="12"/>
      <x:c r="E37" s="12"/>
      <x:c r="F37" s="12"/>
      <x:c r="G37" s="12"/>
      <x:c r="H37" s="12"/>
      <x:c r="I37" s="12"/>
      <x:c r="J37" s="12"/>
      <x:c r="K37" s="12"/>
      <x:c r="L37" s="12"/>
    </x:row>
    <x:row r="38">
      <x:c r="A38" t="str">
        <x:v>Local evidence</x:v>
      </x:c>
      <x:c r="B38" s="12" t="str">
        <x:v>docs/evidence/local-verification.txt; checked 2026-09-30; 29 service/HTTP checks passed; fixture only</x:v>
      </x:c>
      <x:c r="C38" s="12"/>
      <x:c r="D38" s="12"/>
      <x:c r="E38" s="12"/>
      <x:c r="F38" s="12"/>
      <x:c r="G38" s="12"/>
      <x:c r="H38" s="12"/>
      <x:c r="I38" s="12"/>
      <x:c r="J38" s="12"/>
      <x:c r="K38" s="12"/>
      <x:c r="L38" s="12"/>
    </x:row>
  </x:sheetData>
  <x:mergeCells>
    <x:mergeCell ref="B31:F31"/>
    <x:mergeCell ref="B32:F32"/>
    <x:mergeCell ref="B33:F33"/>
    <x:mergeCell ref="B34:F34"/>
  </x:mergeCells>
  <x:dataValidations count="1">
    <x:dataValidation type="list" sqref="L2:L28">
      <x:formula1>"Planned,In Development,Implemented,Verification Failed,Verified"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11.670000076293945" hidden="0" customWidth="1"/>
    <x:col min="2" max="2" width="48.88999938964844" hidden="0" customWidth="1"/>
    <x:col min="3" max="3" width="10" hidden="0" customWidth="1"/>
    <x:col min="4" max="4" width="52.220001220703125" hidden="0" customWidth="1"/>
    <x:col min="5" max="5" width="52.220001220703125" hidden="0" customWidth="1"/>
  </x:cols>
  <x:sheetData>
    <x:row r="1" ht="34" customHeight="1">
      <x:c r="A1" s="5" t="str">
        <x:v>ID</x:v>
      </x:c>
      <x:c r="B1" s="5" t="str">
        <x:v>Requirement</x:v>
      </x:c>
      <x:c r="C1" s="5" t="str">
        <x:v>Priority</x:v>
      </x:c>
      <x:c r="D1" s="5" t="str">
        <x:v>Acceptance criterion 1</x:v>
      </x:c>
      <x:c r="E1" s="5" t="str">
        <x:v>Acceptance criterion 2</x:v>
      </x:c>
    </x:row>
    <x:row r="2" ht="42" customHeight="1">
      <x:c r="A2" s="3" t="str">
        <x:v>FR-001</x:v>
      </x:c>
      <x:c r="B2" s="3" t="str">
        <x:v>Allow requesters to submit a request with a category, description and location.</x:v>
      </x:c>
      <x:c r="C2" s="3" t="str">
        <x:v>High</x:v>
      </x:c>
      <x:c r="D2" s="3" t="str">
        <x:v>AC-FR-001-1: A valid submission saves one request with a unique reference, date and New status.</x:v>
      </x:c>
      <x:c r="E2" s="3" t="str">
        <x:v>AC-FR-001-2: Missing required fields or an invalid category are rejected without saving a request.</x:v>
      </x:c>
    </x:row>
    <x:row r="3" ht="42" customHeight="1">
      <x:c r="A3" s="6" t="str">
        <x:v>FR-002</x:v>
      </x:c>
      <x:c r="B3" s="6" t="str">
        <x:v>Use a predefined list of request categories.</x:v>
      </x:c>
      <x:c r="C3" s="6" t="str">
        <x:v>High</x:v>
      </x:c>
      <x:c r="D3" s="6" t="str">
        <x:v>AC-FR-002-1: A requester can select and save a category from the agreed list.</x:v>
      </x:c>
      <x:c r="E3" s="6" t="str">
        <x:v>AC-FR-002-2: An unlisted category is rejected; existing requests retain their saved category.</x:v>
      </x:c>
    </x:row>
    <x:row r="4" ht="42" customHeight="1">
      <x:c r="A4" s="3" t="str">
        <x:v>FR-003</x:v>
      </x:c>
      <x:c r="B4" s="3" t="str">
        <x:v>Allow requesters to view the current status of their own requests.</x:v>
      </x:c>
      <x:c r="C4" s="3" t="str">
        <x:v>High</x:v>
      </x:c>
      <x:c r="D4" s="3" t="str">
        <x:v>AC-FR-003-1: After an authorised update, the requester sees the saved status and update date.</x:v>
      </x:c>
      <x:c r="E4" s="3" t="str">
        <x:v>AC-FR-003-2: Entering another requester’s reference does not reveal its status or details.</x:v>
      </x:c>
    </x:row>
    <x:row r="5" ht="42" customHeight="1">
      <x:c r="A5" s="6" t="str">
        <x:v>FR-004</x:v>
      </x:c>
      <x:c r="B5" s="6" t="str">
        <x:v>Allow requesters to view their previous requests.</x:v>
      </x:c>
      <x:c r="C5" s="6" t="str">
        <x:v>Medium</x:v>
      </x:c>
      <x:c r="D5" s="6" t="str">
        <x:v>AC-FR-004-1: The list shows each own request’s reference, category, date and current status, including completed requests.</x:v>
      </x:c>
      <x:c r="E5" s="6" t="str">
        <x:v>AC-FR-004-2: Other users’ requests are excluded; an empty list displays a clear message.</x:v>
      </x:c>
    </x:row>
    <x:row r="6" ht="42" customHeight="1">
      <x:c r="A6" s="3" t="str">
        <x:v>FR-005</x:v>
      </x:c>
      <x:c r="B6" s="3" t="str">
        <x:v>Provide requester feedback when a request is accepted, rejected, updated or completed.</x:v>
      </x:c>
      <x:c r="C6" s="3" t="str">
        <x:v>Medium</x:v>
      </x:c>
      <x:c r="D6" s="3" t="str">
        <x:v>AC-FR-005-1: Each event produces feedback showing the event, date and current status; rejection and completion include a reason or summary.</x:v>
      </x:c>
      <x:c r="E6" s="3" t="str">
        <x:v>AC-FR-005-2: Feedback remains available later and excludes private staff notes and other users’ information.</x:v>
      </x:c>
    </x:row>
    <x:row r="7" ht="42" customHeight="1">
      <x:c r="A7" s="6" t="str">
        <x:v>FR-006</x:v>
      </x:c>
      <x:c r="B7" s="6" t="str">
        <x:v>Allow staff to view requests permitted by their role and assigned categories.</x:v>
      </x:c>
      <x:c r="C7" s="6" t="str">
        <x:v>High</x:v>
      </x:c>
      <x:c r="D7" s="6" t="str">
        <x:v>AC-FR-006-1: Staff see all and only the requests allowed by their permissions.</x:v>
      </x:c>
      <x:c r="E7" s="6" t="str">
        <x:v>AC-FR-006-2: Direct access to a request outside these permissions is denied.</x:v>
      </x:c>
    </x:row>
    <x:row r="8" ht="42" customHeight="1">
      <x:c r="A8" s="3" t="str">
        <x:v>FR-007</x:v>
      </x:c>
      <x:c r="B8" s="3" t="str">
        <x:v>Allow staff to search requests and filter by status, category, date and priority, and sort by date or priority.</x:v>
      </x:c>
      <x:c r="C8" s="3" t="str">
        <x:v>Medium</x:v>
      </x:c>
      <x:c r="D8" s="3" t="str">
        <x:v>AC-FR-007-1: Searches and combined filters return only matching authorised records, including both date-range boundaries.</x:v>
      </x:c>
      <x:c r="E8" s="3" t="str">
        <x:v>AC-FR-007-2: Sorting gives the expected order; clearing filters restores the list and no matches displays an empty result.</x:v>
      </x:c>
    </x:row>
    <x:row r="9" ht="42" customHeight="1">
      <x:c r="A9" s="6" t="str">
        <x:v>FR-008</x:v>
      </x:c>
      <x:c r="B9" s="6" t="str">
        <x:v>Allow authorised staff to view full request details.</x:v>
      </x:c>
      <x:c r="C9" s="6" t="str">
        <x:v>High</x:v>
      </x:c>
      <x:c r="D9" s="6" t="str">
        <x:v>AC-FR-008-1: Details show the reference, requester, category, description, location, date, status, priority, owner, due date and notes.</x:v>
      </x:c>
      <x:c r="E9" s="6" t="str">
        <x:v>AC-FR-008-2: Unauthorised users cannot open the same details; missing owner or due date is clearly shown.</x:v>
      </x:c>
    </x:row>
    <x:row r="10" ht="42" customHeight="1">
      <x:c r="A10" s="3" t="str">
        <x:v>FR-009</x:v>
      </x:c>
      <x:c r="B10" s="3" t="str">
        <x:v>Allow authorised staff to assign a request or accept responsibility for it.</x:v>
      </x:c>
      <x:c r="C10" s="3" t="str">
        <x:v>High</x:v>
      </x:c>
      <x:c r="D10" s="3" t="str">
        <x:v>AC-FR-009-1: Assignment records one eligible owner, the person making the change and the time.</x:v>
      </x:c>
      <x:c r="E10" s="3" t="str">
        <x:v>AC-FR-009-2: Ineligible owners are rejected; simultaneous attempts to claim a request cannot create two owners.</x:v>
      </x:c>
    </x:row>
    <x:row r="11" ht="42" customHeight="1">
      <x:c r="A11" s="6" t="str">
        <x:v>FR-010</x:v>
      </x:c>
      <x:c r="B11" s="6" t="str">
        <x:v>Allow request status changes only through the agreed lifecycle.</x:v>
      </x:c>
      <x:c r="C11" s="6" t="str">
        <x:v>High</x:v>
      </x:c>
      <x:c r="D11" s="6" t="str">
        <x:v>AC-FR-010-1: Allowed changes save the new status, previous status, actor and time.</x:v>
      </x:c>
      <x:c r="E11" s="6" t="str">
        <x:v>AC-FR-010-2: Invalid transitions and changes by unauthorised users are rejected without changing the request.</x:v>
      </x:c>
    </x:row>
    <x:row r="12" ht="42" customHeight="1">
      <x:c r="A12" s="3" t="str">
        <x:v>FR-011</x:v>
      </x:c>
      <x:c r="B12" s="3" t="str">
        <x:v>Allow staff to record comments, actions and resolution notes against a request.</x:v>
      </x:c>
      <x:c r="C12" s="3" t="str">
        <x:v>High</x:v>
      </x:c>
      <x:c r="D12" s="3" t="str">
        <x:v>AC-FR-011-1: A nonblank entry is saved with its author and time; blank entries are rejected.</x:v>
      </x:c>
      <x:c r="E12" s="3" t="str">
        <x:v>AC-FR-011-2: Requester-visible updates reach the requester; internal notes remain private and corrections preserve earlier entries.</x:v>
      </x:c>
    </x:row>
    <x:row r="13" ht="42" customHeight="1">
      <x:c r="A13" s="6" t="str">
        <x:v>FR-012</x:v>
      </x:c>
      <x:c r="B13" s="6" t="str">
        <x:v>Allow authorised staff to resolve and close requests.</x:v>
      </x:c>
      <x:c r="C13" s="6" t="str">
        <x:v>High</x:v>
      </x:c>
      <x:c r="D13" s="6" t="str">
        <x:v>AC-FR-012-1: Resolving an In Progress request requires a resolution summary and records the actor and time.</x:v>
      </x:c>
      <x:c r="E13" s="6" t="str">
        <x:v>AC-FR-012-2: Only an authorised user can close a Resolved request; other closure attempts are rejected.</x:v>
      </x:c>
    </x:row>
    <x:row r="14" ht="42" customHeight="1">
      <x:c r="A14" s="3" t="str">
        <x:v>FR-013</x:v>
      </x:c>
      <x:c r="B14" s="3" t="str">
        <x:v>Allow management to view counts of open, overdue, resolved and closed requests.</x:v>
      </x:c>
      <x:c r="C14" s="3" t="str">
        <x:v>Medium</x:v>
      </x:c>
      <x:c r="D14" s="3" t="str">
        <x:v>AC-FR-013-1: Counts match a known dataset using the stated lifecycle and overdue rules.</x:v>
      </x:c>
      <x:c r="E14" s="3" t="str">
        <x:v>AC-FR-013-2: Refreshing shows saved changes, including zero counts; requesters cannot access organisation-wide totals.</x:v>
      </x:c>
    </x:row>
    <x:row r="15" ht="42" customHeight="1">
      <x:c r="A15" s="6" t="str">
        <x:v>FR-014</x:v>
      </x:c>
      <x:c r="B15" s="6" t="str">
        <x:v>Allow management to view requests and counts by category and status.</x:v>
      </x:c>
      <x:c r="C15" s="6" t="str">
        <x:v>Medium</x:v>
      </x:c>
      <x:c r="D15" s="6" t="str">
        <x:v>AC-FR-014-1: Category and status selections show only matching requests and correct counts.</x:v>
      </x:c>
      <x:c r="E15" s="6" t="str">
        <x:v>AC-FR-014-2: Clearing selections restores the permitted overview; categories with no matches show zero.</x:v>
      </x:c>
    </x:row>
    <x:row r="16" ht="42" customHeight="1">
      <x:c r="A16" s="3" t="str">
        <x:v>FR-015</x:v>
      </x:c>
      <x:c r="B16" s="3" t="str">
        <x:v>Keep request history to support accountability and basic performance reporting.</x:v>
      </x:c>
      <x:c r="C16" s="3" t="str">
        <x:v>High</x:v>
      </x:c>
      <x:c r="D16" s="3" t="str">
        <x:v>AC-FR-015-1: History records creation, ownership, status, priority, due-date and note changes with actor and time.</x:v>
      </x:c>
      <x:c r="E16" s="3" t="str">
        <x:v>AC-FR-015-2: History survives restart and cannot be silently changed by ordinary users; timestamps support elapsed-time calculations.</x:v>
      </x:c>
    </x:row>
    <x:row r="17" ht="42" customHeight="1">
      <x:c r="A17" s="6" t="str">
        <x:v>FR-016</x:v>
      </x:c>
      <x:c r="B17" s="6" t="str">
        <x:v>Authenticate users and apply Requester, Staff and Management permissions.</x:v>
      </x:c>
      <x:c r="C17" s="6" t="str">
        <x:v>High</x:v>
      </x:c>
      <x:c r="D17" s="6" t="str">
        <x:v>AC-FR-016-1: Valid credentials for an enabled account grant the agreed access; invalid credentials grant no session.</x:v>
      </x:c>
      <x:c r="E17" s="6" t="str">
        <x:v>AC-FR-016-2: Signed-out users cannot access protected functions, and users cannot grant themselves extra permissions.</x:v>
      </x:c>
    </x:row>
    <x:row r="18" ht="42" customHeight="1">
      <x:c r="A18" s="3" t="str">
        <x:v>FR-017</x:v>
      </x:c>
      <x:c r="B18" s="3" t="str">
        <x:v>Record a controlled priority for each request and allow authorised staff to change it.</x:v>
      </x:c>
      <x:c r="C18" s="3" t="str">
        <x:v>Medium</x:v>
      </x:c>
      <x:c r="D18" s="3" t="str">
        <x:v>AC-FR-017-1: A new request receives the default priority; permitted changes are saved and appear in sorting and filtering.</x:v>
      </x:c>
      <x:c r="E18" s="3" t="str">
        <x:v>AC-FR-017-2: Unlisted priorities and requester attempts to change priority are rejected.</x:v>
      </x:c>
    </x:row>
    <x:row r="19" ht="42" customHeight="1">
      <x:c r="A19" s="6" t="str">
        <x:v>FR-018</x:v>
      </x:c>
      <x:c r="B19" s="6" t="str">
        <x:v>Allow staff to record due dates and identify overdue requests.</x:v>
      </x:c>
      <x:c r="C19" s="6" t="str">
        <x:v>Medium</x:v>
      </x:c>
      <x:c r="D19" s="6" t="str">
        <x:v>AC-FR-018-1: A valid due date and any change to it are saved with actor and time; invalid dates are rejected.</x:v>
      </x:c>
      <x:c r="E19" s="6" t="str">
        <x:v>AC-FR-018-2: Only open requests past their due time are overdue; requests without a due date are clearly marked.</x:v>
      </x:c>
    </x:row>
    <x:row r="20" ht="42" customHeight="1">
      <x:c r="A20" s="3" t="str">
        <x:v>NFR-001</x:v>
      </x:c>
      <x:c r="B20" s="3" t="str">
        <x:v>Protect requests using role and record-level access controls.</x:v>
      </x:c>
      <x:c r="C20" s="3" t="str">
        <x:v>High</x:v>
      </x:c>
      <x:c r="D20" s="3" t="str">
        <x:v>AC-NFR-001-1: The role/access test set produces zero unauthorised disclosures or changes, including direct requests.</x:v>
      </x:c>
      <x:c r="E20" s="3" t="str">
        <x:v>AC-NFR-001-2: Requester ownership and staff-category boundaries are enforced while authorised actions succeed.</x:v>
      </x:c>
    </x:row>
    <x:row r="21" ht="57" customHeight="1">
      <x:c r="A21" s="6" t="str">
        <x:v>NFR-002</x:v>
      </x:c>
      <x:c r="B21" s="6" t="str">
        <x:v>Complete at least 95% of submissions, status views, staff searches and management summaries within 3 seconds at pilot load, with at most 1% failures.</x:v>
      </x:c>
      <x:c r="C21" s="6" t="str">
        <x:v>Medium</x:v>
      </x:c>
      <x:c r="D21" s="6" t="str">
        <x:v>AC-NFR-002-1: Test with 10 concurrent users and 1,000 requests for 10 minutes after a 2-minute warm-up, with at least 100 runs per operation.</x:v>
      </x:c>
      <x:c r="E21" s="6" t="str">
        <x:v>AC-NFR-002-2: Measure each operation separately from user action to visible result; record failures, environment and cold-start time separately.</x:v>
      </x:c>
    </x:row>
    <x:row r="22" ht="42" customHeight="1">
      <x:c r="A22" s="3" t="str">
        <x:v>NFR-003</x:v>
      </x:c>
      <x:c r="B22" s="3" t="str">
        <x:v>Save request data and its history together without partial updates.</x:v>
      </x:c>
      <x:c r="C22" s="3" t="str">
        <x:v>High</x:v>
      </x:c>
      <x:c r="D22" s="3" t="str">
        <x:v>AC-NFR-003-1: A failed submission, assignment or status change leaves either the complete change or the previous state.</x:v>
      </x:c>
      <x:c r="E22" s="3" t="str">
        <x:v>AC-NFR-003-2: Saved records survive restart; a double-click submission does not create duplicate requests.</x:v>
      </x:c>
    </x:row>
    <x:row r="23" ht="42" customHeight="1">
      <x:c r="A23" s="6" t="str">
        <x:v>NFR-004</x:v>
      </x:c>
      <x:c r="B23" s="6" t="str">
        <x:v>Make request submission and status checking easy for users with basic digital skills.</x:v>
      </x:c>
      <x:c r="C23" s="6" t="str">
        <x:v>Medium</x:v>
      </x:c>
      <x:c r="D23" s="6" t="str">
        <x:v>AC-NFR-004-1: At least four of five representative participants submit a valid request and find its status within five minutes without coaching.</x:v>
      </x:c>
      <x:c r="E23" s="6" t="str">
        <x:v>AC-NFR-004-2: All participants use the same task; completion times and errors are recorded.</x:v>
      </x:c>
    </x:row>
    <x:row r="24" ht="42" customHeight="1">
      <x:c r="A24" s="3" t="str">
        <x:v>NFR-005</x:v>
      </x:c>
      <x:c r="B24" s="3" t="str">
        <x:v>Provide a responsive web interface that supports keyboard use.</x:v>
      </x:c>
      <x:c r="C24" s="3" t="str">
        <x:v>Medium</x:v>
      </x:c>
      <x:c r="D24" s="3" t="str">
        <x:v>AC-NFR-005-1: At 360 px and 1366 px viewport widths in Chrome and Edge, controls remain readable and usable without page-level horizontal scrolling.</x:v>
      </x:c>
      <x:c r="E24" s="3" t="str">
        <x:v>AC-NFR-005-2: Keyboard users can reach and operate core controls, see focus, submit a request and read validation errors.</x:v>
      </x:c>
    </x:row>
    <x:row r="25" ht="42" customHeight="1">
      <x:c r="A25" s="6" t="str">
        <x:v>NFR-006</x:v>
      </x:c>
      <x:c r="B25" s="6" t="str">
        <x:v>Use HTTPS to protect authentication and request data in deployed environments.</x:v>
      </x:c>
      <x:c r="C25" s="6" t="str">
        <x:v>High</x:v>
      </x:c>
      <x:c r="D25" s="6" t="str">
        <x:v>AC-NFR-006-1: Sign-in and protected pages use a valid certificate with no mixed-content requests.</x:v>
      </x:c>
      <x:c r="E25" s="6" t="str">
        <x:v>AC-NFR-006-2: HTTP is redirected or denied without protected content; application-generated credentials and request data use HTTPS only.</x:v>
      </x:c>
    </x:row>
    <x:row r="26" ht="42" customHeight="1">
      <x:c r="A26" s="3" t="str">
        <x:v>NFR-007</x:v>
      </x:c>
      <x:c r="B26" s="3" t="str">
        <x:v>Support recovery with no more than 24 hours of lost data and restoration within four hours.</x:v>
      </x:c>
      <x:c r="C26" s="3" t="str">
        <x:v>Medium</x:v>
      </x:c>
      <x:c r="D26" s="3" t="str">
        <x:v>AC-NFR-007-1: A restore test meets both targets and recovers consistent request, ownership, status and history records.</x:v>
      </x:c>
      <x:c r="E26" s="3" t="str">
        <x:v>AC-NFR-007-2: The backup age, restoration time and resulting records are recorded for verification.</x:v>
      </x:c>
    </x:row>
    <x:row r="27" ht="42" customHeight="1">
      <x:c r="A27" s="6" t="str">
        <x:v>NFR-008</x:v>
      </x:c>
      <x:c r="B27" s="6" t="str">
        <x:v>Keep sensitive information out of application logs and error messages.</x:v>
      </x:c>
      <x:c r="C27" s="6" t="str">
        <x:v>High</x:v>
      </x:c>
      <x:c r="D27" s="6" t="str">
        <x:v>AC-NFR-008-1: Tests using dummy secrets and private request content reveal none of that content in logs or user-facing errors.</x:v>
      </x:c>
      <x:c r="E27" s="6" t="str">
        <x:v>AC-NFR-008-2: Errors identify the failed action without exposing credentials, connection secrets or internal stack traces to users.</x:v>
      </x:c>
    </x:row>
    <x:row r="28" ht="42" customHeight="1">
      <x:c r="A28" s="3" t="str">
        <x:v>NFR-009</x:v>
      </x:c>
      <x:c r="B28" s="3" t="str">
        <x:v>Allow core request rules to be tested with controlled data in a separate test environment.</x:v>
      </x:c>
      <x:c r="C28" s="3" t="str">
        <x:v>High</x:v>
      </x:c>
      <x:c r="D28" s="3" t="str">
        <x:v>AC-NFR-009-1: Submission, access, assignment, status and reporting rules accept test inputs and produce observable results without production data.</x:v>
      </x:c>
      <x:c r="E28" s="3" t="str">
        <x:v>AC-NFR-009-2: Repeating a check from the same starting state gives the same outcome; deliberately invalid behaviour is detected.</x:v>
      </x:c>
    </x:row>
    <x:row r="31" ht="58" customHeight="1">
      <x:c r="A31" s="8" t="str">
        <x:v>Lifecycle</x:v>
      </x:c>
      <x:c r="B31" s="8" t="str">
        <x:v>Requests follow New → Assigned → In Progress → Resolved → Closed. A New request may be rejected with a recorded reason. Open means New, Assigned or In Progress. Reopening is not included.</x:v>
      </x:c>
      <x:c r="C31" s="8"/>
      <x:c r="D31" s="8"/>
      <x:c r="E31" s="8"/>
    </x:row>
    <x:row r="32" ht="58" customHeight="1">
      <x:c r="A32" s="8" t="str">
        <x:v>Permissions and feedback</x:v>
      </x:c>
      <x:c r="B32" s="8" t="str">
        <x:v>Requesters view their own requests and public updates. Staff access follows role/category permissions. Management accesses service reporting. Feedback is provided within the application; internal staff notes remain private. Email notifications are not included in the initial version.</x:v>
      </x:c>
      <x:c r="C32" s="8"/>
      <x:c r="D32" s="8"/>
      <x:c r="E32" s="8"/>
    </x:row>
    <x:row r="33" ht="58" customHeight="1">
      <x:c r="A33" s="8" t="str">
        <x:v>Priority and overdue rules</x:v>
      </x:c>
      <x:c r="B33" s="8" t="str">
        <x:v>Priorities are Low, Normal and High, with Normal as default. Authorised staff can change priorities and set due dates. An open request is overdue when its due time has passed. Requests without a due date are clearly identified and are not counted as overdue. Automatic escalation remains deferred.</x:v>
      </x:c>
      <x:c r="C33" s="8"/>
      <x:c r="D33" s="8"/>
      <x:c r="E33" s="8"/>
    </x:row>
    <x:row r="34" ht="58" customHeight="1">
      <x:c r="A34" s="8" t="str">
        <x:v>Categories</x:v>
      </x:c>
      <x:c r="B34" s="8" t="str">
        <x:v>The initial categories are Facility Faults, Damaged Equipment, Security Concerns, IT Support, Maintenance, Lost Property and Other. Each request must use one category from this list.</x:v>
      </x:c>
      <x:c r="C34" s="8"/>
      <x:c r="D34" s="8"/>
      <x:c r="E34" s="8"/>
    </x:row>
    <x:row r="35" ht="58" customHeight="1">
      <x:c r="A35" s="8" t="str">
        <x:v>Quality targets</x:v>
      </x:c>
      <x:c r="B35" s="8" t="str">
        <x:v>The numerical performance, usability and recovery targets in NFR-002, NFR-004 and NFR-007 are acceptance targets for the pilot. Hosting options will be assessed against them in M2. Target changes follow change control. Achievement will be demonstrated through testing in later milestones.</x:v>
      </x:c>
      <x:c r="C35" s="8"/>
      <x:c r="D35" s="8"/>
      <x:c r="E35" s="8"/>
    </x:row>
    <x:row r="36" ht="58" customHeight="1">
      <x:c r="A36" s="8" t="str">
        <x:v>Attachments</x:v>
      </x:c>
      <x:c r="B36" s="8" t="str">
        <x:v>File and photo uploads are deferred to future scope to limit storage, security and implementation work. Initial submissions contain a category, description and location.</x:v>
      </x:c>
      <x:c r="C36" s="8"/>
      <x:c r="D36" s="8"/>
      <x:c r="E36" s="8"/>
    </x:row>
    <x:row r="37" ht="58" customHeight="1">
      <x:c r="A37" s="8" t="str">
        <x:v>Scope boundaries</x:v>
      </x:c>
      <x:c r="B37" s="8" t="str">
        <x:v>External messaging integrations, payments, multi-tenant support and native apps are excluded from the initial version. Attachments, automated escalation, public APIs, AI categorisation and multilingual support remain future scope. Technology and architecture decisions will be addressed in M2.</x:v>
      </x:c>
      <x:c r="C37" s="8"/>
      <x:c r="D37" s="8"/>
      <x:c r="E37" s="8"/>
    </x:row>
  </x:sheetData>
  <x:mergeCells>
    <x:mergeCell ref="B31:E31"/>
    <x:mergeCell ref="B32:E32"/>
    <x:mergeCell ref="B33:E33"/>
    <x:mergeCell ref="B34:E34"/>
    <x:mergeCell ref="B35:E35"/>
    <x:mergeCell ref="B36:E36"/>
    <x:mergeCell ref="B37:E37"/>
  </x:mergeCells>
  <x:dataValidations count="1">
    <x:dataValidation type="list" sqref="C2:C28">
      <x:formula1>"High,Medium,Low"</x:formula1>
    </x:dataValidation>
  </x:dataValidations>
  <x:pageMargins left="0.7" right="0.7" top="0.75" bottom="0.75" header="0.3" footer="0.3"/>
</x:worksheet>
</file>