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showInkAnnotation="0" autoCompressPictures="0"/>
  <xr:revisionPtr revIDLastSave="0" documentId="11_BA9878C59281B343BAF2F7B7C8F16ABD1338820B" xr6:coauthVersionLast="47" xr6:coauthVersionMax="47" xr10:uidLastSave="{00000000-0000-0000-0000-000000000000}"/>
  <bookViews>
    <workbookView xWindow="0" yWindow="0" windowWidth="0" windowHeight="0" xr2:uid="{00000000-000D-0000-FFFF-FFFF00000000}"/>
  </bookViews>
  <sheets>
    <sheet name="RTM" sheetId="1" r:id="rId1"/>
    <sheet name="Requirements" sheetId="2" r:id="rId2"/>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 i="1" l="1"/>
  <c r="E28" i="1"/>
  <c r="R27" i="1"/>
  <c r="E27" i="1"/>
  <c r="R26" i="1"/>
  <c r="E26" i="1"/>
  <c r="R25" i="1"/>
  <c r="E25" i="1"/>
  <c r="R24" i="1"/>
  <c r="E24" i="1"/>
  <c r="R23" i="1"/>
  <c r="E23" i="1"/>
  <c r="R22" i="1"/>
  <c r="E22" i="1"/>
  <c r="R21" i="1"/>
  <c r="E21" i="1"/>
  <c r="R20" i="1"/>
  <c r="E20" i="1"/>
  <c r="R19" i="1"/>
  <c r="E19" i="1"/>
  <c r="R18" i="1"/>
  <c r="E18" i="1"/>
  <c r="R17" i="1"/>
  <c r="E17" i="1"/>
  <c r="R16" i="1"/>
  <c r="E16" i="1"/>
  <c r="R15" i="1"/>
  <c r="E15" i="1"/>
  <c r="R14" i="1"/>
  <c r="E14" i="1"/>
  <c r="R13" i="1"/>
  <c r="E13" i="1"/>
  <c r="R12" i="1"/>
  <c r="E12" i="1"/>
  <c r="R11" i="1"/>
  <c r="E11" i="1"/>
  <c r="R10" i="1"/>
  <c r="E10" i="1"/>
  <c r="R9" i="1"/>
  <c r="E9" i="1"/>
  <c r="R8" i="1"/>
  <c r="E8" i="1"/>
  <c r="R7" i="1"/>
  <c r="E7" i="1"/>
  <c r="R6" i="1"/>
  <c r="E6" i="1"/>
  <c r="R5" i="1"/>
  <c r="E5" i="1"/>
  <c r="R4" i="1"/>
  <c r="E4" i="1"/>
  <c r="R3" i="1"/>
  <c r="E3" i="1"/>
  <c r="R2" i="1"/>
  <c r="E2" i="1"/>
</calcChain>
</file>

<file path=xl/sharedStrings.xml><?xml version="1.0" encoding="utf-8"?>
<sst xmlns="http://schemas.openxmlformats.org/spreadsheetml/2006/main" count="732" uniqueCount="449">
  <si>
    <t>Requirement ID</t>
  </si>
  <si>
    <t>Requirement</t>
  </si>
  <si>
    <t>Stakeholder and source</t>
  </si>
  <si>
    <t>Scope reference</t>
  </si>
  <si>
    <t>Priority</t>
  </si>
  <si>
    <t>Acceptance IDs</t>
  </si>
  <si>
    <t>Design reference</t>
  </si>
  <si>
    <t>Issue / PR / code</t>
  </si>
  <si>
    <t>Test evidence</t>
  </si>
  <si>
    <t>Change reference</t>
  </si>
  <si>
    <t>Release evidence</t>
  </si>
  <si>
    <t>Implementation status</t>
  </si>
  <si>
    <t>ASR / quality driver</t>
  </si>
  <si>
    <t>Architecture / module</t>
  </si>
  <si>
    <t>Data / persistence impact</t>
  </si>
  <si>
    <t>Technology decision</t>
  </si>
  <si>
    <t>ADR / risk reference</t>
  </si>
  <si>
    <t>Current requirement wording</t>
  </si>
  <si>
    <t>Expected / observed result</t>
  </si>
  <si>
    <t>Defect or remaining acceptance gap</t>
  </si>
  <si>
    <t>M3 execution evidence</t>
  </si>
  <si>
    <t>Evidence date / executor</t>
  </si>
  <si>
    <t>FR-001</t>
  </si>
  <si>
    <t>Submit a service request</t>
  </si>
  <si>
    <t>Requester; PED §1.2, §2.1.1; MB §3 Requester</t>
  </si>
  <si>
    <t>SR-IN-01</t>
  </si>
  <si>
    <t>AC-FR-001-1; AC-FR-001-2</t>
  </si>
  <si>
    <t>ADR-M2-03; ADR-M2-04; ADR-M2-06; docs/decisions/README.md</t>
  </si>
  <si>
    <t>Planned. Design source PR #10 (architecture) / #11 (data/technology); no application implementation for this row.</t>
  </si>
  <si>
    <t>Creation and input validation not implemented</t>
  </si>
  <si>
    <t>M2 consolidation 2026-09-30; requirement/AC unchanged; M3 2026-10-13: evidence evolved; requirement/AC unchanged; CR-M3-C01.</t>
  </si>
  <si>
    <t>Local review baseline; release NOT READY; docs/release-evidence.md.</t>
  </si>
  <si>
    <t>Planned</t>
  </si>
  <si>
    <t>Integrity; pilot performance</t>
  </si>
  <si>
    <t>Submission service (planned)</t>
  </si>
  <si>
    <t>ServiceRequest, Category, RequestHistory; atomic creation and idempotency</t>
  </si>
  <si>
    <t>ADR-M2-04: ASP.NET Core MVC/Razor; EF Core/Npgsql 8.0.11; PostgreSQL adapters/migrations implemented by Michael (PR14).</t>
  </si>
  <si>
    <t>R-015; R-036</t>
  </si>
  <si>
    <t>Not executed for complete acceptance.</t>
  </si>
  <si>
    <t>Request creation and input-validation endpoint absent.</t>
  </si>
  <si>
    <t>No complete M3 execution evidence; see docs/release-evidence.md.</t>
  </si>
  <si>
    <t>2026-10-13 evidence review.</t>
  </si>
  <si>
    <t>FR-002</t>
  </si>
  <si>
    <t>Controlled request categories</t>
  </si>
  <si>
    <t>Requester; Staff; PED §2.1.1, A-02; MB §3 Requester</t>
  </si>
  <si>
    <t>SR-IN-02</t>
  </si>
  <si>
    <t>AC-FR-002-1; AC-FR-002-2</t>
  </si>
  <si>
    <t>ADR-M2-03; ADR-M2-04; docs/decisions/README.md</t>
  </si>
  <si>
    <t>Controlled catalogue and persistent keys not implemented</t>
  </si>
  <si>
    <t>Integrity</t>
  </si>
  <si>
    <t>Category catalogue (planned)</t>
  </si>
  <si>
    <t>Category FK; retain referenced category</t>
  </si>
  <si>
    <t>R-019</t>
  </si>
  <si>
    <t>Controlled category catalogue/enforced category key absent.</t>
  </si>
  <si>
    <t>FR-003</t>
  </si>
  <si>
    <t>View own request status</t>
  </si>
  <si>
    <t>SR-IN-03</t>
  </si>
  <si>
    <t>AC-FR-003-1; AC-FR-003-2</t>
  </si>
  <si>
    <t>ADR-M2-01; ADR-M2-03; ADR-M2-04; ADR-M2-05; ADR-M2-06; docs/decisions/README.md</t>
  </si>
  <si>
    <t>src/CivicConnect.Web/: RequestQueryService; RequestAccessPolicy; EfRequestReader; RequestStatusService. M2 PR12; M3 PR14; local Cameron integration/test commit fef0469.</t>
  </si>
  <si>
    <t>E01/E02/A04; S01/S03/H04/H05/H07; passed 2026-10-13 where mapped; docs/testing-m3.md.</t>
  </si>
  <si>
    <t>In Development</t>
  </si>
  <si>
    <t>Access isolation</t>
  </si>
  <si>
    <t>RequestsController; RequestQueryService</t>
  </si>
  <si>
    <t>Michael EF Core/PostgreSQL reader and persisted synthetic requests/notes; authorised application projection.</t>
  </si>
  <si>
    <t>R-013; R-017</t>
  </si>
  <si>
    <t>Owner reads saved Closed status/time and permitted notes; foreign record returns 404.</t>
  </si>
  <si>
    <t>Full live account/UI acceptance pending. See docs/defects.md and technical-debt.md.</t>
  </si>
  <si>
    <t>docs/testing-m3.md; docs/evidence/m3/personal-20261013-181846/ (integration.txt, regression.txt, database.txt; mapped IDs in column I).</t>
  </si>
  <si>
    <t>2026-10-13 18:18-18:19 SAST; Cameron Purdon 601963; f774bf8.</t>
  </si>
  <si>
    <t>FR-004</t>
  </si>
  <si>
    <t>View own request history</t>
  </si>
  <si>
    <t>SR-IN-04</t>
  </si>
  <si>
    <t>AC-FR-004-1; AC-FR-004-2</t>
  </si>
  <si>
    <t>ADR-M2-03; ADR-M2-04; ADR-M2-05; ADR-M2-06; docs/decisions/README.md</t>
  </si>
  <si>
    <t>List/history query not implemented</t>
  </si>
  <si>
    <t>Requester history query (planned)</t>
  </si>
  <si>
    <t>Requester-scoped ServiceRequest collection</t>
  </si>
  <si>
    <t>R-013</t>
  </si>
  <si>
    <t>Own request history/list workflow absent.</t>
  </si>
  <si>
    <t>FR-005</t>
  </si>
  <si>
    <t>Requester feedback</t>
  </si>
  <si>
    <t>Requester; PED §2.1.1; §5.2 concern 5; MB §3 Requester</t>
  </si>
  <si>
    <t>SR-IN-05</t>
  </si>
  <si>
    <t>AC-FR-005-1; AC-FR-005-2</t>
  </si>
  <si>
    <t>ADR-M2-02; ADR-M2-03; ADR-M2-04; ADR-M2-06; docs/decisions/README.md</t>
  </si>
  <si>
    <t>src/CivicConnect.Web/: RequestStatusService; EfRequestStatusWriter; EfRequestReader. M2 PR12; M3 PR14; local Cameron integration/test commit fef0469.</t>
  </si>
  <si>
    <t>E01/E02; passed 2026-10-13 where mapped; docs/testing-m3.md.</t>
  </si>
  <si>
    <t>Integrity; access isolation</t>
  </si>
  <si>
    <t>Future change coordinator and feedback query</t>
  </si>
  <si>
    <t>PostgreSQL status/history/public-note transaction and optimistic version; broader schema/acceptance gaps remain.</t>
  </si>
  <si>
    <t>R-027; R-028</t>
  </si>
  <si>
    <t>Status changes create persistent public feedback; rejection has a reason.</t>
  </si>
  <si>
    <t>Event/date presentation and full feedback scope pending. See docs/defects.md and technical-debt.md.</t>
  </si>
  <si>
    <t>FR-006</t>
  </si>
  <si>
    <t>Authorised staff request list</t>
  </si>
  <si>
    <t>Staff; PED §1.2, §2.1.1, §2.2.3; MB §3 Staff</t>
  </si>
  <si>
    <t>SR-IN-06</t>
  </si>
  <si>
    <t>AC-FR-006-1; AC-FR-006-2</t>
  </si>
  <si>
    <t>src/CivicConnect.Web/: RequestAccessPolicy; request detail boundary only. M2 PR12; M3 PR14; local Cameron integration/test commit fef0469.</t>
  </si>
  <si>
    <t>S05/H09/BB05; passed 2026-10-13 where mapped; docs/testing-m3.md.</t>
  </si>
  <si>
    <t>Staff list query (planned)</t>
  </si>
  <si>
    <t>Category permission filter before counts/pagination</t>
  </si>
  <si>
    <t>R-013; R-032</t>
  </si>
  <si>
    <t>Outside-category detail/mutation denied.</t>
  </si>
  <si>
    <t>Authorised staff list absent. See docs/defects.md and technical-debt.md.</t>
  </si>
  <si>
    <t>FR-007</t>
  </si>
  <si>
    <t>Search, filter and sort</t>
  </si>
  <si>
    <t>Staff; PED §2.1.1; MB §3 Staff</t>
  </si>
  <si>
    <t>SR-IN-07</t>
  </si>
  <si>
    <t>AC-FR-007-1; AC-FR-007-2</t>
  </si>
  <si>
    <t>No search, sorting or load evidence</t>
  </si>
  <si>
    <t>Pilot performance; access isolation</t>
  </si>
  <si>
    <t>Search/filter query (planned)</t>
  </si>
  <si>
    <t>Permission-constrained sort/filter/index strategy</t>
  </si>
  <si>
    <t>R-016; R-022</t>
  </si>
  <si>
    <t>Search/filter/sort workflow absent.</t>
  </si>
  <si>
    <t>FR-008</t>
  </si>
  <si>
    <t>Full request details</t>
  </si>
  <si>
    <t>SR-IN-08</t>
  </si>
  <si>
    <t>AC-FR-008-1; AC-FR-008-2</t>
  </si>
  <si>
    <t>src/CivicConnect.Web/: RequestQueryService; RequestAccessPolicy; EfRequestReader. M2 PR12; M3 PR14; local Cameron integration/test commit fef0469.</t>
  </si>
  <si>
    <t>S04/S05/H08/H09; database checks; passed 2026-10-13 where mapped; docs/testing-m3.md.</t>
  </si>
  <si>
    <t>Permitted staff sees internal notes; wrong category denied.</t>
  </si>
  <si>
    <t>Full details omit owner/priority/due-date/requester; AC1 incomplete. See docs/defects.md and technical-debt.md.</t>
  </si>
  <si>
    <t>FR-009</t>
  </si>
  <si>
    <t>Assign or accept ownership</t>
  </si>
  <si>
    <t>SR-IN-09</t>
  </si>
  <si>
    <t>AC-FR-009-1; AC-FR-009-2</t>
  </si>
  <si>
    <t>ADR-M2-02; ADR-M2-03; ADR-M2-04; ADR-M2-05; ADR-M2-06; docs/decisions/README.md</t>
  </si>
  <si>
    <t>Database concurrency mechanism and simultaneous-claim test pending</t>
  </si>
  <si>
    <t>Assignment service (planned)</t>
  </si>
  <si>
    <t>Conditional atomic owner update plus RequestHistory</t>
  </si>
  <si>
    <t>R-015</t>
  </si>
  <si>
    <t>Eligible owner assignment/concurrent claiming absent; Assigned status is not owner assignment.</t>
  </si>
  <si>
    <t>FR-010</t>
  </si>
  <si>
    <t>Controlled status transitions</t>
  </si>
  <si>
    <t>SR-IN-10</t>
  </si>
  <si>
    <t>AC-FR-010-1; AC-FR-010-2</t>
  </si>
  <si>
    <t>src/CivicConnect.Web/: StatusTransitionService; RequestStatusService; EfRequestStatusWriter. M2 PR12; M3 PR14; local Cameron integration/test commit fef0469.</t>
  </si>
  <si>
    <t>C01-C06; BB05; A03/A05/A06; E01/E02; passed 2026-10-13 where mapped; docs/testing-m3.md.</t>
  </si>
  <si>
    <t>Integrity; testability</t>
  </si>
  <si>
    <t>StatusTransitionService and State objects (planned)</t>
  </si>
  <si>
    <t>R-011; R-027</t>
  </si>
  <si>
    <t>Legal lifecycle saved with actor/time/history; invalid/unauthorised/stale changes rejected.</t>
  </si>
  <si>
    <t>Peer review/live identity and simultaneous HTTP/audit check pending. See docs/defects.md and technical-debt.md.</t>
  </si>
  <si>
    <t>FR-011</t>
  </si>
  <si>
    <t>Record actions and notes</t>
  </si>
  <si>
    <t>SR-IN-11</t>
  </si>
  <si>
    <t>AC-FR-011-1; AC-FR-011-2</t>
  </si>
  <si>
    <t>src/CivicConnect.Web/: DTO note filtering; EfRequestStatusWriter public feedback. M2 PR12; M3 PR14; local Cameron integration/test commit fef0469.</t>
  </si>
  <si>
    <t>S02/H05; BB03/BB04; E01/E02; passed 2026-10-13 where mapped; docs/testing-m3.md.</t>
  </si>
  <si>
    <t>Access isolation; integrity</t>
  </si>
  <si>
    <t>RequestQueryService note projection; note writing planned</t>
  </si>
  <si>
    <t>R-017</t>
  </si>
  <si>
    <t>Internal notes excluded from owner response; invalid feedback produces no writes.</t>
  </si>
  <si>
    <t>General note author/time/correction workflow absent. See docs/defects.md and technical-debt.md.</t>
  </si>
  <si>
    <t>FR-012</t>
  </si>
  <si>
    <t>Resolve and close requests</t>
  </si>
  <si>
    <t>SR-IN-12</t>
  </si>
  <si>
    <t>AC-FR-012-1; AC-FR-012-2</t>
  </si>
  <si>
    <t>src/CivicConnect.Web/: StatusTransitionService; RequestStatusService; status POST. M2 PR12; M3 PR14; local Cameron integration/test commit fef0469.</t>
  </si>
  <si>
    <t>E01/E02; C01/C02; passed 2026-10-13 where mapped; docs/testing-m3.md.</t>
  </si>
  <si>
    <t>Resolution/closure use case (planned)</t>
  </si>
  <si>
    <t>Staff resolves with summary then closes; terminal reopen denied.</t>
  </si>
  <si>
    <t>Broader live account/permission acceptance pending. See docs/defects.md and technical-debt.md.</t>
  </si>
  <si>
    <t>FR-013</t>
  </si>
  <si>
    <t>Service activity summary</t>
  </si>
  <si>
    <t>Management; PED §1.2, §2.1.1; MB §3 Management</t>
  </si>
  <si>
    <t>SR-IN-13</t>
  </si>
  <si>
    <t>AC-FR-013-1; AC-FR-013-2</t>
  </si>
  <si>
    <t>No report implementation</t>
  </si>
  <si>
    <t>Management reporting (planned)</t>
  </si>
  <si>
    <t>Aggregate status/open/overdue queries</t>
  </si>
  <si>
    <t>R-014; R-016</t>
  </si>
  <si>
    <t>Management service counts absent.</t>
  </si>
  <si>
    <t>FR-014</t>
  </si>
  <si>
    <t>Management category/status analysis</t>
  </si>
  <si>
    <t>Management; PED §2.1.1; MB §3 Management</t>
  </si>
  <si>
    <t>SR-IN-14</t>
  </si>
  <si>
    <t>AC-FR-014-1; AC-FR-014-2</t>
  </si>
  <si>
    <t>No grouping report implementation</t>
  </si>
  <si>
    <t>Management category/status report (planned)</t>
  </si>
  <si>
    <t>Aggregate Category/ServiceRequest grouping</t>
  </si>
  <si>
    <t>Management category/status analysis absent.</t>
  </si>
  <si>
    <t>FR-015</t>
  </si>
  <si>
    <t>Accountability and performance history</t>
  </si>
  <si>
    <t>Management; Staff; PED §1.2, §2.1.1; MB §3 Management</t>
  </si>
  <si>
    <t>SR-IN-15; SR-IN-11</t>
  </si>
  <si>
    <t>AC-FR-015-1; AC-FR-015-2</t>
  </si>
  <si>
    <t>src/CivicConnect.Web/: RequestStatusHistoryEntity; EfRequestStatusWriter. M2 PR12; M3 PR14; local Cameron integration/test commit fef0469.</t>
  </si>
  <si>
    <t>E01; database checks; passed 2026-10-13 where mapped; docs/testing-m3.md.</t>
  </si>
  <si>
    <t>Accountability reporting (planned)</t>
  </si>
  <si>
    <t>R-014</t>
  </si>
  <si>
    <t>Four status audit edges with correct actor/time/version; history saved in PostgreSQL.</t>
  </si>
  <si>
    <t>Creation/ownership/priority/due-date/note history and restart/immutability checks pending. See docs/defects.md and technical-debt.md.</t>
  </si>
  <si>
    <t>FR-016</t>
  </si>
  <si>
    <t>Authenticated role access</t>
  </si>
  <si>
    <t>Requester; Staff; Management; PED §2.2.3; §5.2 concern 1; MB §16</t>
  </si>
  <si>
    <t>Cross-cutting: SR-IN-03, 06, 08, 12-15</t>
  </si>
  <si>
    <t>AC-FR-016-1; AC-FR-016-2</t>
  </si>
  <si>
    <t>src/CivicConnect.Web/: Cookie authentication; central action/read policy. M2 PR12; M3 PR14; local Cameron integration/test commit fef0469.</t>
  </si>
  <si>
    <t>A02/BB05; S07-S12/H02/H03; passed 2026-10-13 where mapped; docs/testing-m3.md.</t>
  </si>
  <si>
    <t>Framework cookie gate and RequestAccessPolicy</t>
  </si>
  <si>
    <t>Trusted principal claims; user store/provisioning planned</t>
  </si>
  <si>
    <t>R-013; R-031; R-032</t>
  </si>
  <si>
    <t>Signed-out calls return 401; ambiguous/inactive identities denied.</t>
  </si>
  <si>
    <t>Actual credential login/provisioning and permission freshness absent. See docs/defects.md and technical-debt.md.</t>
  </si>
  <si>
    <t>FR-017</t>
  </si>
  <si>
    <t>Request priority</t>
  </si>
  <si>
    <t>Staff; PED §2.1.1; MB §2 prioritisation need</t>
  </si>
  <si>
    <t>SR-IN-07; SR-IN-15</t>
  </si>
  <si>
    <t>AC-FR-017-1; AC-FR-017-2</t>
  </si>
  <si>
    <t>No priority mutation implementation</t>
  </si>
  <si>
    <t>Priority update service (planned)</t>
  </si>
  <si>
    <t>Controlled Low/Normal/High; default Normal</t>
  </si>
  <si>
    <t>R-036</t>
  </si>
  <si>
    <t>Controlled priority/default/update absent.</t>
  </si>
  <si>
    <t>FR-018</t>
  </si>
  <si>
    <t>Due dates and overdue identification</t>
  </si>
  <si>
    <t>Staff; Management; PED §2.1.1; MB §3 Management</t>
  </si>
  <si>
    <t>SR-IN-13; SR-IN-15</t>
  </si>
  <si>
    <t>AC-FR-018-1; AC-FR-018-2</t>
  </si>
  <si>
    <t>No due-date/overdue implementation</t>
  </si>
  <si>
    <t>Due-date service and overdue query (planned)</t>
  </si>
  <si>
    <t>Open states plus DueDate &lt; now; null not overdue</t>
  </si>
  <si>
    <t>Due-date/overdue calculation absent.</t>
  </si>
  <si>
    <t>NFR-001</t>
  </si>
  <si>
    <t>Access-control isolation</t>
  </si>
  <si>
    <t>Requester; Staff; Management; PED §2.2.2 Security; R-004; MB §16</t>
  </si>
  <si>
    <t>Cross-cutting: all protected scope</t>
  </si>
  <si>
    <t>AC-NFR-001-1; AC-NFR-001-2</t>
  </si>
  <si>
    <t>src/CivicConnect.Web/: RequestAccessPolicy; filtered DTO; versioned status command. M2 PR12; M3 PR14; local Cameron integration/test commit fef0469.</t>
  </si>
  <si>
    <t>C03/BB05/A04/A06/E01/E02; S02-S12; passed 2026-10-13 where mapped; docs/testing-m3.md.</t>
  </si>
  <si>
    <t>RequestAccessPolicy and DTO projection</t>
  </si>
  <si>
    <t>R-013; R-017; R-032</t>
  </si>
  <si>
    <t>No unauthorised disclosure/change in selected role/record cases.</t>
  </si>
  <si>
    <t>Synthetic-ticket access matrix only; live permission freshness unverified. See docs/defects.md and technical-debt.md.</t>
  </si>
  <si>
    <t>NFR-002</t>
  </si>
  <si>
    <t>Pilot response time</t>
  </si>
  <si>
    <t>Requester; Staff; Management; PED A-03, §2.2.2 Quality/Cost; §5.2 concern 3; MB §4</t>
  </si>
  <si>
    <t>SR-IN-01; SR-IN-03; SR-IN-07; SR-IN-13</t>
  </si>
  <si>
    <t>AC-NFR-002-1; AC-NFR-002-2</t>
  </si>
  <si>
    <t>ADR-M2-01; ADR-M2-03; ADR-M2-04; docs/decisions/README.md</t>
  </si>
  <si>
    <t>Original load and timing targets unchanged; no measurements</t>
  </si>
  <si>
    <t>Pilot performance</t>
  </si>
  <si>
    <t>Single application; later load harness</t>
  </si>
  <si>
    <t>Indexes/pooling/data volume to verify</t>
  </si>
  <si>
    <t>No load measurements; original 3s/95%/1% target and pilot workload unverified.</t>
  </si>
  <si>
    <t>NFR-003</t>
  </si>
  <si>
    <t>Data integrity on save</t>
  </si>
  <si>
    <t>Requester; Staff; Management; PED §1.1; §7.1.2; MB §15</t>
  </si>
  <si>
    <t>SR-IN-01; SR-IN-09-12; SR-IN-15</t>
  </si>
  <si>
    <t>AC-NFR-003-1; AC-NFR-003-2</t>
  </si>
  <si>
    <t>src/CivicConnect.Web/: EF transaction; concurrency version; status coordinator. M2 PR12; M3 PR14; local Cameron integration/test commit fef0469.</t>
  </si>
  <si>
    <t>A05/A06; E01; database checks; passed 2026-10-13 where mapped; docs/testing-m3.md.</t>
  </si>
  <si>
    <t>Future transaction coordinator</t>
  </si>
  <si>
    <t>Failed status write rolls back; stale version rejected; saved effects agree.</t>
  </si>
  <si>
    <t>Submission/assignment/idempotency and complete process restart unverified. See docs/defects.md and technical-debt.md.</t>
  </si>
  <si>
    <t>NFR-004</t>
  </si>
  <si>
    <t>Requester usability</t>
  </si>
  <si>
    <t>Requester; PED §1.2, A-01; MB §5</t>
  </si>
  <si>
    <t>SR-IN-01; SR-IN-03; SR-IN-04</t>
  </si>
  <si>
    <t>AC-NFR-004-1; AC-NFR-004-2</t>
  </si>
  <si>
    <t>ADR-M2-01; ADR-M2-04; docs/decisions/README.md</t>
  </si>
  <si>
    <t>No representative participant evaluation</t>
  </si>
  <si>
    <t>Usability supports pilot scope</t>
  </si>
  <si>
    <t>Future requester UI</t>
  </si>
  <si>
    <t>No additional data decision</t>
  </si>
  <si>
    <t>R-021</t>
  </si>
  <si>
    <t>No five-participant usability exercise.</t>
  </si>
  <si>
    <t>NFR-005</t>
  </si>
  <si>
    <t>Responsive and keyboard-usable interface</t>
  </si>
  <si>
    <t>Requester; Staff; Management; PED §2.1.2; A-01; MB §5, §15</t>
  </si>
  <si>
    <t>Cross-cutting; responsive web scope</t>
  </si>
  <si>
    <t>AC-NFR-005-1; AC-NFR-005-2</t>
  </si>
  <si>
    <t>Landing exists; viewport/keyboard/core-route acceptance pending</t>
  </si>
  <si>
    <t>Accessibility/responsive presentation</t>
  </si>
  <si>
    <t>Razor landing; future functional views</t>
  </si>
  <si>
    <t>No representative responsive/keyboard workflow evaluation.</t>
  </si>
  <si>
    <t>NFR-006</t>
  </si>
  <si>
    <t>Protected data in transit</t>
  </si>
  <si>
    <t>Requester; Staff; Management; PED §2.2.2 Security; §5.2 concern 6; MB §16</t>
  </si>
  <si>
    <t>Cross-cutting: protected product data</t>
  </si>
  <si>
    <t>AC-NFR-006-1; AC-NFR-006-2</t>
  </si>
  <si>
    <t>ADR-M2-01; ADR-M2-03; ADR-M2-04; ADR-M2-06; docs/decisions/README.md</t>
  </si>
  <si>
    <t>src/CivicConnect.Web/: Secure cookies; temporary HTTPS test host. M2 PR12; M3 PR14; local Cameron integration/test commit fef0469.</t>
  </si>
  <si>
    <t>M3 suite ran over HTTPS; passed 2026-10-13 where mapped; docs/testing-m3.md.</t>
  </si>
  <si>
    <t>Secure deployment constraint</t>
  </si>
  <si>
    <t>Future HTTPS host and cookie deployment</t>
  </si>
  <si>
    <t>TLS for protected HTTP and database traffic</t>
  </si>
  <si>
    <t>R-033</t>
  </si>
  <si>
    <t>Temporary loopback certificate and secure cookies used for test host.</t>
  </si>
  <si>
    <t>Real deployed certificate/HTTPS redirect and browser acceptance pending. See docs/defects.md and technical-debt.md.</t>
  </si>
  <si>
    <t>NFR-007</t>
  </si>
  <si>
    <t>Recoverable request records</t>
  </si>
  <si>
    <t>Project team; Management; PED §5.2 concern 7; §7.1; MB §17</t>
  </si>
  <si>
    <t>Cross-cutting: retained request/history data</t>
  </si>
  <si>
    <t>AC-NFR-007-1; AC-NFR-007-2</t>
  </si>
  <si>
    <t>RPO/RTO targets retained; no restore evidence</t>
  </si>
  <si>
    <t>Recovery constraint</t>
  </si>
  <si>
    <t>Future backup/restore process</t>
  </si>
  <si>
    <t>PostgreSQL backup and timed restore</t>
  </si>
  <si>
    <t>R-018; R-040</t>
  </si>
  <si>
    <t>No backup/restore measurement against RPO/RTO.</t>
  </si>
  <si>
    <t>NFR-008</t>
  </si>
  <si>
    <t>Privacy of logs and errors</t>
  </si>
  <si>
    <t>Requester; Staff; Management; PED §5.2 concern 6; R-004, R-005; MB §16</t>
  </si>
  <si>
    <t>Cross-cutting: restricted information</t>
  </si>
  <si>
    <t>AC-NFR-008-1; AC-NFR-008-2</t>
  </si>
  <si>
    <t>ADR-M2-01; ADR-M2-04; ADR-M2-05; ADR-M2-06; docs/decisions/README.md</t>
  </si>
  <si>
    <t>src/CivicConnect.Web/: Generic HTTP exception boundary. M2 PR12; M3 PR14; local Cameron integration/test commit fef0469.</t>
  </si>
  <si>
    <t>A05; H12/H13; passed 2026-10-13 where mapped; docs/testing-m3.md.</t>
  </si>
  <si>
    <t>Privacy and failure behaviour</t>
  </si>
  <si>
    <t>Safe error middleware; no private payload logging</t>
  </si>
  <si>
    <t>Filtered DTO; generic exception handling</t>
  </si>
  <si>
    <t>R-034; R-035</t>
  </si>
  <si>
    <t>500 does not disclose exception/private marker; responses no-store.</t>
  </si>
  <si>
    <t>Full dummy-secret/log-content audit pending. See docs/defects.md and technical-debt.md.</t>
  </si>
  <si>
    <t>NFR-009</t>
  </si>
  <si>
    <t>Testability of core business rules</t>
  </si>
  <si>
    <t>Project team; PED §5.2 concern 4; MB §15; M1 §4</t>
  </si>
  <si>
    <t>Cross-cutting: core request lifecycle</t>
  </si>
  <si>
    <t>AC-NFR-009-1; AC-NFR-009-2</t>
  </si>
  <si>
    <t>ADR-M2-01; ADR-M2-04; ADR-M2-05; ADR-M2-06; ADR-M2-07; docs/decisions/README.md</t>
  </si>
  <si>
    <t>src/CivicConnect.Web/: Injected reader/policy/writer; isolated executable suites. M2 PR12; M3 PR14; local Cameron integration/test commit fef0469.</t>
  </si>
  <si>
    <t>C01-C06; BB01-BB05; A01-A06; E01/E02; passed 2026-10-13 where mapped; docs/testing-m3.md.</t>
  </si>
  <si>
    <t>Testability</t>
  </si>
  <si>
    <t>Injected reader/policy; verification executable</t>
  </si>
  <si>
    <t>Synthetic data with controlled store fault</t>
  </si>
  <si>
    <t>R-009; R-038</t>
  </si>
  <si>
    <t>Repeatable core access/status cases; negative control fails forbidden transition.</t>
  </si>
  <si>
    <t>Submission/assignment/reporting rules remain unimplemented. See docs/defects.md and technical-debt.md.</t>
  </si>
  <si>
    <t>Source key</t>
  </si>
  <si>
    <t>PED = supplied PED1, sections 1.2 and 2.1–2.2. MB = SEN381 CivicConnect Master Project Brief, sections 3 and 11.</t>
  </si>
  <si>
    <t>RTM format</t>
  </si>
  <si>
    <t>M2 evolution: M1 requirements and ACs retained; M2 architecture/data/technology/design and local evidence added. Supporting research is in ADRs.</t>
  </si>
  <si>
    <t>Status</t>
  </si>
  <si>
    <t>Planned = no working implementation. In Development = partial local evidence; not full acceptance. No requirement marked Verified. Team baseline approval pending.</t>
  </si>
  <si>
    <t>Maintenance</t>
  </si>
  <si>
    <t>Keep requirement IDs stable. Update affected acceptance criteria and trace links when a change is approved. Add actual evidence links as work progresses.</t>
  </si>
  <si>
    <t>Source PR 10</t>
  </si>
  <si>
    <t>https://github.com/Michael-Ellis819/Virtual_Group_K_SEN381_Project/pull/10</t>
  </si>
  <si>
    <t>Source PR 11</t>
  </si>
  <si>
    <t>https://github.com/Michael-Ellis819/Virtual_Group_K_SEN381_Project/pull/11</t>
  </si>
  <si>
    <t>M1 history</t>
  </si>
  <si>
    <t>https://github.com/Michael-Ellis819/Virtual_Group_K_SEN381_Project/pull/3</t>
  </si>
  <si>
    <t>Local evidence</t>
  </si>
  <si>
    <t>docs/evidence/local-verification.txt; checked 2026-09-30; 29 service/HTTP checks passed; fixture only</t>
  </si>
  <si>
    <t>ID</t>
  </si>
  <si>
    <t>Acceptance criterion 1</t>
  </si>
  <si>
    <t>Acceptance criterion 2</t>
  </si>
  <si>
    <t>Allow requesters to submit a request with a category, description and location.</t>
  </si>
  <si>
    <t>High</t>
  </si>
  <si>
    <t>AC-FR-001-1: A valid submission saves one request with a unique reference, date and New status.</t>
  </si>
  <si>
    <t>AC-FR-001-2: Missing required fields or an invalid category are rejected without saving a request.</t>
  </si>
  <si>
    <t>Use a predefined list of request categories.</t>
  </si>
  <si>
    <t>AC-FR-002-1: A requester can select and save a category from the agreed list.</t>
  </si>
  <si>
    <t>AC-FR-002-2: An unlisted category is rejected; existing requests retain their saved category.</t>
  </si>
  <si>
    <t>Allow requesters to view the current status of their own requests.</t>
  </si>
  <si>
    <t>AC-FR-003-1: After an authorised update, the requester sees the saved status and update date.</t>
  </si>
  <si>
    <t>AC-FR-003-2: Entering another requester’s reference does not reveal its status or details.</t>
  </si>
  <si>
    <t>Allow requesters to view their previous requests.</t>
  </si>
  <si>
    <t>Medium</t>
  </si>
  <si>
    <t>AC-FR-004-1: The list shows each own request’s reference, category, date and current status, including completed requests.</t>
  </si>
  <si>
    <t>AC-FR-004-2: Other users’ requests are excluded; an empty list displays a clear message.</t>
  </si>
  <si>
    <t>Provide requester feedback when a request is accepted, rejected, updated or completed.</t>
  </si>
  <si>
    <t>AC-FR-005-1: Each event produces feedback showing the event, date and current status; rejection and completion include a reason or summary.</t>
  </si>
  <si>
    <t>AC-FR-005-2: Feedback remains available later and excludes private staff notes and other users’ information.</t>
  </si>
  <si>
    <t>Allow staff to view requests permitted by their role and assigned categories.</t>
  </si>
  <si>
    <t>AC-FR-006-1: Staff see all and only the requests allowed by their permissions.</t>
  </si>
  <si>
    <t>AC-FR-006-2: Direct access to a request outside these permissions is denied.</t>
  </si>
  <si>
    <t>Allow staff to search requests and filter by status, category, date and priority, and sort by date or priority.</t>
  </si>
  <si>
    <t>AC-FR-007-1: Searches and combined filters return only matching authorised records, including both date-range boundaries.</t>
  </si>
  <si>
    <t>AC-FR-007-2: Sorting gives the expected order; clearing filters restores the list and no matches displays an empty result.</t>
  </si>
  <si>
    <t>Allow authorised staff to view full request details.</t>
  </si>
  <si>
    <t>AC-FR-008-1: Details show the reference, requester, category, description, location, date, status, priority, owner, due date and notes.</t>
  </si>
  <si>
    <t>AC-FR-008-2: Unauthorised users cannot open the same details; missing owner or due date is clearly shown.</t>
  </si>
  <si>
    <t>Allow authorised staff to assign a request or accept responsibility for it.</t>
  </si>
  <si>
    <t>AC-FR-009-1: Assignment records one eligible owner, the person making the change and the time.</t>
  </si>
  <si>
    <t>AC-FR-009-2: Ineligible owners are rejected; simultaneous attempts to claim a request cannot create two owners.</t>
  </si>
  <si>
    <t>Allow request status changes only through the agreed lifecycle.</t>
  </si>
  <si>
    <t>AC-FR-010-1: Allowed changes save the new status, previous status, actor and time.</t>
  </si>
  <si>
    <t>AC-FR-010-2: Invalid transitions and changes by unauthorised users are rejected without changing the request.</t>
  </si>
  <si>
    <t>Allow staff to record comments, actions and resolution notes against a request.</t>
  </si>
  <si>
    <t>AC-FR-011-1: A nonblank entry is saved with its author and time; blank entries are rejected.</t>
  </si>
  <si>
    <t>AC-FR-011-2: Requester-visible updates reach the requester; internal notes remain private and corrections preserve earlier entries.</t>
  </si>
  <si>
    <t>Allow authorised staff to resolve and close requests.</t>
  </si>
  <si>
    <t>AC-FR-012-1: Resolving an In Progress request requires a resolution summary and records the actor and time.</t>
  </si>
  <si>
    <t>AC-FR-012-2: Only an authorised user can close a Resolved request; other closure attempts are rejected.</t>
  </si>
  <si>
    <t>Allow management to view counts of open, overdue, resolved and closed requests.</t>
  </si>
  <si>
    <t>AC-FR-013-1: Counts match a known dataset using the stated lifecycle and overdue rules.</t>
  </si>
  <si>
    <t>AC-FR-013-2: Refreshing shows saved changes, including zero counts; requesters cannot access organisation-wide totals.</t>
  </si>
  <si>
    <t>Allow management to view requests and counts by category and status.</t>
  </si>
  <si>
    <t>AC-FR-014-1: Category and status selections show only matching requests and correct counts.</t>
  </si>
  <si>
    <t>AC-FR-014-2: Clearing selections restores the permitted overview; categories with no matches show zero.</t>
  </si>
  <si>
    <t>Keep request history to support accountability and basic performance reporting.</t>
  </si>
  <si>
    <t>AC-FR-015-1: History records creation, ownership, status, priority, due-date and note changes with actor and time.</t>
  </si>
  <si>
    <t>AC-FR-015-2: History survives restart and cannot be silently changed by ordinary users; timestamps support elapsed-time calculations.</t>
  </si>
  <si>
    <t>Authenticate users and apply Requester, Staff and Management permissions.</t>
  </si>
  <si>
    <t>AC-FR-016-1: Valid credentials for an enabled account grant the agreed access; invalid credentials grant no session.</t>
  </si>
  <si>
    <t>AC-FR-016-2: Signed-out users cannot access protected functions, and users cannot grant themselves extra permissions.</t>
  </si>
  <si>
    <t>Record a controlled priority for each request and allow authorised staff to change it.</t>
  </si>
  <si>
    <t>AC-FR-017-1: A new request receives the default priority; permitted changes are saved and appear in sorting and filtering.</t>
  </si>
  <si>
    <t>AC-FR-017-2: Unlisted priorities and requester attempts to change priority are rejected.</t>
  </si>
  <si>
    <t>Allow staff to record due dates and identify overdue requests.</t>
  </si>
  <si>
    <t>AC-FR-018-1: A valid due date and any change to it are saved with actor and time; invalid dates are rejected.</t>
  </si>
  <si>
    <t>AC-FR-018-2: Only open requests past their due time are overdue; requests without a due date are clearly marked.</t>
  </si>
  <si>
    <t>Protect requests using role and record-level access controls.</t>
  </si>
  <si>
    <t>AC-NFR-001-1: The role/access test set produces zero unauthorised disclosures or changes, including direct requests.</t>
  </si>
  <si>
    <t>AC-NFR-001-2: Requester ownership and staff-category boundaries are enforced while authorised actions succeed.</t>
  </si>
  <si>
    <t>Complete at least 95% of submissions, status views, staff searches and management summaries within 3 seconds at pilot load, with at most 1% failures.</t>
  </si>
  <si>
    <t>AC-NFR-002-1: Test with 10 concurrent users and 1,000 requests for 10 minutes after a 2-minute warm-up, with at least 100 runs per operation.</t>
  </si>
  <si>
    <t>AC-NFR-002-2: Measure each operation separately from user action to visible result; record failures, environment and cold-start time separately.</t>
  </si>
  <si>
    <t>Save request data and its history together without partial updates.</t>
  </si>
  <si>
    <t>AC-NFR-003-1: A failed submission, assignment or status change leaves either the complete change or the previous state.</t>
  </si>
  <si>
    <t>AC-NFR-003-2: Saved records survive restart; a double-click submission does not create duplicate requests.</t>
  </si>
  <si>
    <t>Make request submission and status checking easy for users with basic digital skills.</t>
  </si>
  <si>
    <t>AC-NFR-004-1: At least four of five representative participants submit a valid request and find its status within five minutes without coaching.</t>
  </si>
  <si>
    <t>AC-NFR-004-2: All participants use the same task; completion times and errors are recorded.</t>
  </si>
  <si>
    <t>Provide a responsive web interface that supports keyboard use.</t>
  </si>
  <si>
    <t>AC-NFR-005-1: At 360 px and 1366 px viewport widths in Chrome and Edge, controls remain readable and usable without page-level horizontal scrolling.</t>
  </si>
  <si>
    <t>AC-NFR-005-2: Keyboard users can reach and operate core controls, see focus, submit a request and read validation errors.</t>
  </si>
  <si>
    <t>Use HTTPS to protect authentication and request data in deployed environments.</t>
  </si>
  <si>
    <t>AC-NFR-006-1: Sign-in and protected pages use a valid certificate with no mixed-content requests.</t>
  </si>
  <si>
    <t>AC-NFR-006-2: HTTP is redirected or denied without protected content; application-generated credentials and request data use HTTPS only.</t>
  </si>
  <si>
    <t>Support recovery with no more than 24 hours of lost data and restoration within four hours.</t>
  </si>
  <si>
    <t>AC-NFR-007-1: A restore test meets both targets and recovers consistent request, ownership, status and history records.</t>
  </si>
  <si>
    <t>AC-NFR-007-2: The backup age, restoration time and resulting records are recorded for verification.</t>
  </si>
  <si>
    <t>Keep sensitive information out of application logs and error messages.</t>
  </si>
  <si>
    <t>AC-NFR-008-1: Tests using dummy secrets and private request content reveal none of that content in logs or user-facing errors.</t>
  </si>
  <si>
    <t>AC-NFR-008-2: Errors identify the failed action without exposing credentials, connection secrets or internal stack traces to users.</t>
  </si>
  <si>
    <t>Allow core request rules to be tested with controlled data in a separate test environment.</t>
  </si>
  <si>
    <t>AC-NFR-009-1: Submission, access, assignment, status and reporting rules accept test inputs and produce observable results without production data.</t>
  </si>
  <si>
    <t>AC-NFR-009-2: Repeating a check from the same starting state gives the same outcome; deliberately invalid behaviour is detected.</t>
  </si>
  <si>
    <t>Lifecycle</t>
  </si>
  <si>
    <t>Requests follow New → Assigned → In Progress → Resolved → Closed. A New request may be rejected with a recorded reason. Open means New, Assigned or In Progress. Reopening is not included.</t>
  </si>
  <si>
    <t>Permissions and feedback</t>
  </si>
  <si>
    <t>Requesters view their own requests and public updates. Staff access follows role/category permissions. Management accesses service reporting. Feedback is provided within the application; internal staff notes remain private. Email notifications are not included in the initial version.</t>
  </si>
  <si>
    <t>Priority and overdue rules</t>
  </si>
  <si>
    <t>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t>
  </si>
  <si>
    <t>Categories</t>
  </si>
  <si>
    <t>The initial categories are Facility Faults, Damaged Equipment, Security Concerns, IT Support, Maintenance, Lost Property and Other. Each request must use one category from this list.</t>
  </si>
  <si>
    <t>Quality targets</t>
  </si>
  <si>
    <t>The numerical performance, usability and recovery targets in NFR-002, NFR-004 and NFR-007 are acceptance targets for the pilot. Hosting options will be assessed against them in M2. Target changes follow change control. Achievement will be demonstrated through testing in later milestones.</t>
  </si>
  <si>
    <t>Attachments</t>
  </si>
  <si>
    <t>File and photo uploads are deferred to future scope to limit storage, security and implementation work. Initial submissions contain a category, description and location.</t>
  </si>
  <si>
    <t>Scope boundaries</t>
  </si>
  <si>
    <t>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</si>
</sst>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1"/>
      <color rgb="FF000000"/>
      <name val="Calibri"/>
    </font>
    <font>
      <b/>
      <sz val="11"/>
      <color rgb="FF000000"/>
      <name val="Calibri"/>
    </font>
    <font>
      <sz val="11"/>
      <name val="Calibri"/>
    </font>
    <font>
      <b/>
      <sz val="11"/>
      <name val="Calibri"/>
    </font>
  </fonts>
  <fills count="6">
    <fill>
      <patternFill patternType="none"/>
    </fill>
    <fill>
      <patternFill patternType="gray125"/>
    </fill>
    <fill>
      <patternFill patternType="solid">
        <fgColor rgb="FFE7E6E6"/>
      </patternFill>
    </fill>
    <fill>
      <patternFill patternType="solid">
        <fgColor rgb="FFFFFFFF"/>
      </patternFill>
    </fill>
    <fill>
      <patternFill patternType="solid">
        <fgColor rgb="FFF5F5F5"/>
      </patternFill>
    </fill>
    <fill>
      <patternFill patternType="solid">
        <fgColor rgb="FFD9D9D9"/>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3" fillId="0" borderId="0" xfId="0" applyFont="1" applyAlignment="1">
      <alignment wrapText="1"/>
    </xf>
    <xf numFmtId="0" fontId="4" fillId="2" borderId="0" xfId="0" applyFont="1" applyFill="1" applyAlignment="1">
      <alignment wrapText="1"/>
    </xf>
    <xf numFmtId="0" fontId="0" fillId="0" borderId="0" xfId="0" applyAlignment="1">
      <alignment wrapText="1"/>
    </xf>
    <xf numFmtId="0" fontId="3" fillId="3" borderId="0" xfId="0" applyFont="1" applyFill="1" applyAlignment="1">
      <alignment vertical="top" wrapText="1"/>
    </xf>
    <xf numFmtId="0" fontId="3" fillId="4" borderId="0" xfId="0" applyFont="1" applyFill="1" applyAlignment="1">
      <alignment vertical="top" wrapText="1"/>
    </xf>
    <xf numFmtId="0" fontId="4" fillId="5"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1" fillId="4" borderId="0" xfId="0" applyFont="1" applyFill="1" applyAlignment="1">
      <alignment vertical="top" wrapText="1"/>
    </xf>
    <xf numFmtId="0" fontId="3"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8"/>
  <sheetViews>
    <sheetView showGridLines="0" tabSelected="1" workbookViewId="0">
      <pane xSplit="1" ySplit="1" topLeftCell="B2" activePane="bottomRight" state="frozen"/>
      <selection pane="bottomRight"/>
      <selection pane="bottomLeft"/>
      <selection pane="topRight"/>
    </sheetView>
  </sheetViews>
  <sheetFormatPr defaultRowHeight="15"/>
  <cols>
    <col min="1" max="1" width="11.625" customWidth="1"/>
    <col min="2" max="2" width="26.125" customWidth="1"/>
    <col min="3" max="3" width="37.25" customWidth="1"/>
    <col min="4" max="4" width="27.75" customWidth="1"/>
    <col min="5" max="5" width="10" customWidth="1"/>
    <col min="6" max="6" width="32.25" customWidth="1"/>
    <col min="7" max="9" width="48" customWidth="1"/>
    <col min="10" max="10" width="32" customWidth="1"/>
    <col min="11" max="12" width="22" customWidth="1"/>
    <col min="13" max="13" width="32" customWidth="1"/>
    <col min="14" max="16" width="48" customWidth="1"/>
    <col min="17" max="17" width="32" customWidth="1"/>
    <col min="18" max="18" width="48" customWidth="1"/>
    <col min="19" max="21" width="65" customWidth="1"/>
    <col min="22" max="22" width="28" customWidth="1"/>
  </cols>
  <sheetData>
    <row r="1" spans="1:22" ht="42" customHeight="1">
      <c r="A1" s="9" t="s">
        <v>0</v>
      </c>
      <c r="B1" s="9" t="s">
        <v>1</v>
      </c>
      <c r="C1" s="9" t="s">
        <v>2</v>
      </c>
      <c r="D1" s="9" t="s">
        <v>3</v>
      </c>
      <c r="E1" s="9" t="s">
        <v>4</v>
      </c>
      <c r="F1" s="9" t="s">
        <v>5</v>
      </c>
      <c r="G1" s="9" t="s">
        <v>6</v>
      </c>
      <c r="H1" s="9" t="s">
        <v>7</v>
      </c>
      <c r="I1" s="9" t="s">
        <v>8</v>
      </c>
      <c r="J1" s="9" t="s">
        <v>9</v>
      </c>
      <c r="K1" s="9" t="s">
        <v>10</v>
      </c>
      <c r="L1" s="9" t="s">
        <v>11</v>
      </c>
      <c r="M1" s="3" t="s">
        <v>12</v>
      </c>
      <c r="N1" s="3" t="s">
        <v>13</v>
      </c>
      <c r="O1" s="3" t="s">
        <v>14</v>
      </c>
      <c r="P1" s="3" t="s">
        <v>15</v>
      </c>
      <c r="Q1" s="3" t="s">
        <v>16</v>
      </c>
      <c r="R1" s="3" t="s">
        <v>17</v>
      </c>
      <c r="S1" s="7" t="s">
        <v>18</v>
      </c>
      <c r="T1" s="7" t="s">
        <v>19</v>
      </c>
      <c r="U1" s="7" t="s">
        <v>20</v>
      </c>
      <c r="V1" s="7" t="s">
        <v>21</v>
      </c>
    </row>
    <row r="2" spans="1:22" ht="95.1" customHeight="1">
      <c r="A2" s="1" t="s">
        <v>22</v>
      </c>
      <c r="B2" s="1" t="s">
        <v>23</v>
      </c>
      <c r="C2" s="1" t="s">
        <v>24</v>
      </c>
      <c r="D2" s="1" t="s">
        <v>25</v>
      </c>
      <c r="E2" s="1" t="str">
        <f>INDEX(Requirements!$C$2:$C$28,MATCH(A2,Requirements!$A$2:$A$28,0))</f>
        <v>High</v>
      </c>
      <c r="F2" s="1" t="s">
        <v>26</v>
      </c>
      <c r="G2" s="1" t="s">
        <v>27</v>
      </c>
      <c r="H2" s="1" t="s">
        <v>28</v>
      </c>
      <c r="I2" s="1" t="s">
        <v>29</v>
      </c>
      <c r="J2" s="1" t="s">
        <v>30</v>
      </c>
      <c r="K2" s="1" t="inlineStr">
        <is>
          <t>Local combined candidate m3-combined-review-20261014; release NOT READY. docs/release-evidence.md.</t>
        </is>
      </c>
      <c r="L2" s="1" t="s">
        <v>32</v>
      </c>
      <c r="M2" s="5" t="s">
        <v>33</v>
      </c>
      <c r="N2" s="5" t="s">
        <v>34</v>
      </c>
      <c r="O2" s="5" t="s">
        <v>35</v>
      </c>
      <c r="P2" s="5" t="s">
        <v>36</v>
      </c>
      <c r="Q2" s="5" t="s">
        <v>37</v>
      </c>
      <c r="R2" s="5" t="str">
        <f>INDEX(Requirements!$B$2:$B$28,MATCH(A2,Requirements!$A$2:$A$28,0))</f>
        <v>Allow requesters to submit a request with a category, description and location.</v>
      </c>
      <c r="S2" s="8" t="s">
        <v>38</v>
      </c>
      <c r="T2" s="8" t="s">
        <v>39</v>
      </c>
      <c r="U2" s="8" t="s">
        <v>40</v>
      </c>
      <c r="V2" s="8" t="s">
        <v>41</v>
      </c>
    </row>
    <row r="3" spans="1:22" ht="95.1" customHeight="1">
      <c r="A3" s="10" t="s">
        <v>42</v>
      </c>
      <c r="B3" s="10" t="s">
        <v>43</v>
      </c>
      <c r="C3" s="10" t="s">
        <v>44</v>
      </c>
      <c r="D3" s="10" t="s">
        <v>45</v>
      </c>
      <c r="E3" s="10" t="str">
        <f>INDEX(Requirements!$C$2:$C$28,MATCH(A3,Requirements!$A$2:$A$28,0))</f>
        <v>High</v>
      </c>
      <c r="F3" s="10" t="s">
        <v>46</v>
      </c>
      <c r="G3" s="10" t="s">
        <v>47</v>
      </c>
      <c r="H3" s="10" t="s">
        <v>28</v>
      </c>
      <c r="I3" s="10" t="s">
        <v>48</v>
      </c>
      <c r="J3" s="10" t="s">
        <v>30</v>
      </c>
      <c r="K3" s="10" t="inlineStr">
        <is>
          <t>Local combined candidate m3-combined-review-20261014; release NOT READY. docs/release-evidence.md.</t>
        </is>
      </c>
      <c r="L3" s="10" t="s">
        <v>32</v>
      </c>
      <c r="M3" s="6" t="s">
        <v>49</v>
      </c>
      <c r="N3" s="6" t="s">
        <v>50</v>
      </c>
      <c r="O3" s="6" t="s">
        <v>51</v>
      </c>
      <c r="P3" s="6" t="s">
        <v>36</v>
      </c>
      <c r="Q3" s="6" t="s">
        <v>52</v>
      </c>
      <c r="R3" s="6" t="str">
        <f>INDEX(Requirements!$B$2:$B$28,MATCH(A3,Requirements!$A$2:$A$28,0))</f>
        <v>Use a predefined list of request categories.</v>
      </c>
      <c r="S3" s="8" t="s">
        <v>38</v>
      </c>
      <c r="T3" s="8" t="s">
        <v>53</v>
      </c>
      <c r="U3" s="8" t="s">
        <v>40</v>
      </c>
      <c r="V3" s="8" t="s">
        <v>41</v>
      </c>
    </row>
    <row r="4" spans="1:22" ht="95.1" customHeight="1">
      <c r="A4" s="1" t="s">
        <v>54</v>
      </c>
      <c r="B4" s="1" t="s">
        <v>55</v>
      </c>
      <c r="C4" s="1" t="s">
        <v>24</v>
      </c>
      <c r="D4" s="1" t="s">
        <v>56</v>
      </c>
      <c r="E4" s="1" t="str">
        <f>INDEX(Requirements!$C$2:$C$28,MATCH(A4,Requirements!$A$2:$A$28,0))</f>
        <v>High</v>
      </c>
      <c r="F4" s="1" t="s">
        <v>57</v>
      </c>
      <c r="G4" s="1" t="s">
        <v>58</v>
      </c>
      <c r="H4" s="1" t="s">
        <v>59</v>
      </c>
      <c r="I4" s="1" t="s">
        <v>60</v>
      </c>
      <c r="J4" s="1" t="s">
        <v>30</v>
      </c>
      <c r="K4" s="1" t="inlineStr">
        <is>
          <t>Local combined candidate m3-combined-review-20261014; release NOT READY. docs/release-evidence.md.</t>
        </is>
      </c>
      <c r="L4" s="1" t="s">
        <v>61</v>
      </c>
      <c r="M4" s="5" t="s">
        <v>62</v>
      </c>
      <c r="N4" s="5" t="s">
        <v>63</v>
      </c>
      <c r="O4" s="5" t="s">
        <v>64</v>
      </c>
      <c r="P4" s="5" t="s">
        <v>36</v>
      </c>
      <c r="Q4" s="5" t="s">
        <v>65</v>
      </c>
      <c r="R4" s="5" t="str">
        <f>INDEX(Requirements!$B$2:$B$28,MATCH(A4,Requirements!$A$2:$A$28,0))</f>
        <v>Allow requesters to view the current status of their own requests.</v>
      </c>
      <c r="S4" s="8" t="s">
        <v>66</v>
      </c>
      <c r="T4" s="8" t="s">
        <v>67</v>
      </c>
      <c r="U4" s="8" t="s">
        <v>68</v>
      </c>
      <c r="V4" s="8" t="s">
        <v>69</v>
      </c>
    </row>
    <row r="5" spans="1:22" ht="95.1" customHeight="1">
      <c r="A5" s="10" t="s">
        <v>70</v>
      </c>
      <c r="B5" s="10" t="s">
        <v>71</v>
      </c>
      <c r="C5" s="10" t="s">
        <v>24</v>
      </c>
      <c r="D5" s="10" t="s">
        <v>72</v>
      </c>
      <c r="E5" s="10" t="str">
        <f>INDEX(Requirements!$C$2:$C$28,MATCH(A5,Requirements!$A$2:$A$28,0))</f>
        <v>Medium</v>
      </c>
      <c r="F5" s="10" t="s">
        <v>73</v>
      </c>
      <c r="G5" s="10" t="s">
        <v>74</v>
      </c>
      <c r="H5" s="10" t="s">
        <v>28</v>
      </c>
      <c r="I5" s="10" t="s">
        <v>75</v>
      </c>
      <c r="J5" s="10" t="s">
        <v>30</v>
      </c>
      <c r="K5" s="10" t="inlineStr">
        <is>
          <t>Local combined candidate m3-combined-review-20261014; release NOT READY. docs/release-evidence.md.</t>
        </is>
      </c>
      <c r="L5" s="10" t="s">
        <v>32</v>
      </c>
      <c r="M5" s="6" t="s">
        <v>62</v>
      </c>
      <c r="N5" s="6" t="s">
        <v>76</v>
      </c>
      <c r="O5" s="6" t="s">
        <v>77</v>
      </c>
      <c r="P5" s="6" t="s">
        <v>36</v>
      </c>
      <c r="Q5" s="6" t="s">
        <v>78</v>
      </c>
      <c r="R5" s="6" t="str">
        <f>INDEX(Requirements!$B$2:$B$28,MATCH(A5,Requirements!$A$2:$A$28,0))</f>
        <v>Allow requesters to view their previous requests.</v>
      </c>
      <c r="S5" s="8" t="s">
        <v>38</v>
      </c>
      <c r="T5" s="8" t="s">
        <v>79</v>
      </c>
      <c r="U5" s="8" t="s">
        <v>40</v>
      </c>
      <c r="V5" s="8" t="s">
        <v>41</v>
      </c>
    </row>
    <row r="6" spans="1:22" ht="95.1" customHeight="1">
      <c r="A6" s="1" t="s">
        <v>80</v>
      </c>
      <c r="B6" s="1" t="s">
        <v>81</v>
      </c>
      <c r="C6" s="1" t="s">
        <v>82</v>
      </c>
      <c r="D6" s="1" t="s">
        <v>83</v>
      </c>
      <c r="E6" s="1" t="str">
        <f>INDEX(Requirements!$C$2:$C$28,MATCH(A6,Requirements!$A$2:$A$28,0))</f>
        <v>Medium</v>
      </c>
      <c r="F6" s="1" t="s">
        <v>84</v>
      </c>
      <c r="G6" s="1" t="s">
        <v>85</v>
      </c>
      <c r="H6" s="1" t="s">
        <v>86</v>
      </c>
      <c r="I6" s="1" t="s">
        <v>87</v>
      </c>
      <c r="J6" s="1" t="s">
        <v>30</v>
      </c>
      <c r="K6" s="1" t="inlineStr">
        <is>
          <t>Local combined candidate m3-combined-review-20261014; release NOT READY. docs/release-evidence.md.</t>
        </is>
      </c>
      <c r="L6" s="1" t="s">
        <v>61</v>
      </c>
      <c r="M6" s="5" t="s">
        <v>88</v>
      </c>
      <c r="N6" s="5" t="s">
        <v>89</v>
      </c>
      <c r="O6" s="5" t="s">
        <v>90</v>
      </c>
      <c r="P6" s="5" t="s">
        <v>36</v>
      </c>
      <c r="Q6" s="5" t="s">
        <v>91</v>
      </c>
      <c r="R6" s="5" t="str">
        <f>INDEX(Requirements!$B$2:$B$28,MATCH(A6,Requirements!$A$2:$A$28,0))</f>
        <v>Provide requester feedback when a request is accepted, rejected, updated or completed.</v>
      </c>
      <c r="S6" s="8" t="s">
        <v>92</v>
      </c>
      <c r="T6" s="8" t="s">
        <v>93</v>
      </c>
      <c r="U6" s="8" t="s">
        <v>68</v>
      </c>
      <c r="V6" s="8" t="s">
        <v>69</v>
      </c>
    </row>
    <row r="7" spans="1:22" ht="95.1" customHeight="1">
      <c r="A7" s="10" t="s">
        <v>94</v>
      </c>
      <c r="B7" s="10" t="s">
        <v>95</v>
      </c>
      <c r="C7" s="10" t="s">
        <v>96</v>
      </c>
      <c r="D7" s="10" t="s">
        <v>97</v>
      </c>
      <c r="E7" s="10" t="str">
        <f>INDEX(Requirements!$C$2:$C$28,MATCH(A7,Requirements!$A$2:$A$28,0))</f>
        <v>High</v>
      </c>
      <c r="F7" s="10" t="s">
        <v>98</v>
      </c>
      <c r="G7" s="10" t="s">
        <v>74</v>
      </c>
      <c r="H7" s="10" t="s">
        <v>99</v>
      </c>
      <c r="I7" s="10" t="s">
        <v>100</v>
      </c>
      <c r="J7" s="10" t="s">
        <v>30</v>
      </c>
      <c r="K7" s="10" t="inlineStr">
        <is>
          <t>Local combined candidate m3-combined-review-20261014; release NOT READY. docs/release-evidence.md.</t>
        </is>
      </c>
      <c r="L7" s="10" t="s">
        <v>61</v>
      </c>
      <c r="M7" s="6" t="s">
        <v>62</v>
      </c>
      <c r="N7" s="6" t="s">
        <v>101</v>
      </c>
      <c r="O7" s="6" t="s">
        <v>102</v>
      </c>
      <c r="P7" s="6" t="s">
        <v>36</v>
      </c>
      <c r="Q7" s="6" t="s">
        <v>103</v>
      </c>
      <c r="R7" s="6" t="str">
        <f>INDEX(Requirements!$B$2:$B$28,MATCH(A7,Requirements!$A$2:$A$28,0))</f>
        <v>Allow staff to view requests permitted by their role and assigned categories.</v>
      </c>
      <c r="S7" s="8" t="s">
        <v>104</v>
      </c>
      <c r="T7" s="8" t="s">
        <v>105</v>
      </c>
      <c r="U7" s="8" t="s">
        <v>68</v>
      </c>
      <c r="V7" s="8" t="s">
        <v>69</v>
      </c>
    </row>
    <row r="8" spans="1:22" ht="95.1" customHeight="1">
      <c r="A8" s="1" t="s">
        <v>106</v>
      </c>
      <c r="B8" s="1" t="s">
        <v>107</v>
      </c>
      <c r="C8" s="1" t="s">
        <v>108</v>
      </c>
      <c r="D8" s="1" t="s">
        <v>109</v>
      </c>
      <c r="E8" s="1" t="str">
        <f>INDEX(Requirements!$C$2:$C$28,MATCH(A8,Requirements!$A$2:$A$28,0))</f>
        <v>Medium</v>
      </c>
      <c r="F8" s="1" t="s">
        <v>110</v>
      </c>
      <c r="G8" s="1" t="s">
        <v>74</v>
      </c>
      <c r="H8" s="1" t="s">
        <v>28</v>
      </c>
      <c r="I8" s="1" t="s">
        <v>111</v>
      </c>
      <c r="J8" s="1" t="s">
        <v>30</v>
      </c>
      <c r="K8" s="1" t="inlineStr">
        <is>
          <t>Local combined candidate m3-combined-review-20261014; release NOT READY. docs/release-evidence.md.</t>
        </is>
      </c>
      <c r="L8" s="1" t="s">
        <v>32</v>
      </c>
      <c r="M8" s="5" t="s">
        <v>112</v>
      </c>
      <c r="N8" s="5" t="s">
        <v>113</v>
      </c>
      <c r="O8" s="5" t="s">
        <v>114</v>
      </c>
      <c r="P8" s="5" t="s">
        <v>36</v>
      </c>
      <c r="Q8" s="5" t="s">
        <v>115</v>
      </c>
      <c r="R8" s="5" t="str">
        <f>INDEX(Requirements!$B$2:$B$28,MATCH(A8,Requirements!$A$2:$A$28,0))</f>
        <v>Allow staff to search requests and filter by status, category, date and priority, and sort by date or priority.</v>
      </c>
      <c r="S8" s="8" t="s">
        <v>38</v>
      </c>
      <c r="T8" s="8" t="s">
        <v>116</v>
      </c>
      <c r="U8" s="8" t="s">
        <v>40</v>
      </c>
      <c r="V8" s="8" t="s">
        <v>41</v>
      </c>
    </row>
    <row r="9" spans="1:22" ht="95.1" customHeight="1">
      <c r="A9" s="10" t="s">
        <v>117</v>
      </c>
      <c r="B9" s="10" t="s">
        <v>118</v>
      </c>
      <c r="C9" s="10" t="s">
        <v>108</v>
      </c>
      <c r="D9" s="10" t="s">
        <v>119</v>
      </c>
      <c r="E9" s="10" t="str">
        <f>INDEX(Requirements!$C$2:$C$28,MATCH(A9,Requirements!$A$2:$A$28,0))</f>
        <v>High</v>
      </c>
      <c r="F9" s="10" t="s">
        <v>120</v>
      </c>
      <c r="G9" s="10" t="s">
        <v>58</v>
      </c>
      <c r="H9" s="10" t="s">
        <v>121</v>
      </c>
      <c r="I9" s="10" t="s">
        <v>122</v>
      </c>
      <c r="J9" s="10" t="s">
        <v>30</v>
      </c>
      <c r="K9" s="10" t="inlineStr">
        <is>
          <t>Local combined candidate m3-combined-review-20261014; release NOT READY. docs/release-evidence.md.</t>
        </is>
      </c>
      <c r="L9" s="10" t="s">
        <v>61</v>
      </c>
      <c r="M9" s="6" t="s">
        <v>62</v>
      </c>
      <c r="N9" s="6" t="s">
        <v>63</v>
      </c>
      <c r="O9" s="6" t="s">
        <v>64</v>
      </c>
      <c r="P9" s="6" t="s">
        <v>36</v>
      </c>
      <c r="Q9" s="6" t="s">
        <v>65</v>
      </c>
      <c r="R9" s="6" t="str">
        <f>INDEX(Requirements!$B$2:$B$28,MATCH(A9,Requirements!$A$2:$A$28,0))</f>
        <v>Allow authorised staff to view full request details.</v>
      </c>
      <c r="S9" s="8" t="s">
        <v>123</v>
      </c>
      <c r="T9" s="8" t="s">
        <v>124</v>
      </c>
      <c r="U9" s="8" t="s">
        <v>68</v>
      </c>
      <c r="V9" s="8" t="s">
        <v>69</v>
      </c>
    </row>
    <row r="10" spans="1:22" ht="95.1" customHeight="1">
      <c r="A10" s="1" t="s">
        <v>125</v>
      </c>
      <c r="B10" s="1" t="s">
        <v>126</v>
      </c>
      <c r="C10" s="1" t="s">
        <v>108</v>
      </c>
      <c r="D10" s="1" t="s">
        <v>127</v>
      </c>
      <c r="E10" s="1" t="str">
        <f>INDEX(Requirements!$C$2:$C$28,MATCH(A10,Requirements!$A$2:$A$28,0))</f>
        <v>High</v>
      </c>
      <c r="F10" s="1" t="s">
        <v>128</v>
      </c>
      <c r="G10" s="1" t="s">
        <v>129</v>
      </c>
      <c r="H10" s="1" t="s">
        <v>28</v>
      </c>
      <c r="I10" s="1" t="s">
        <v>130</v>
      </c>
      <c r="J10" s="1" t="s">
        <v>30</v>
      </c>
      <c r="K10" s="1" t="inlineStr">
        <is>
          <t>Local combined candidate m3-combined-review-20261014; release NOT READY. docs/release-evidence.md.</t>
        </is>
      </c>
      <c r="L10" s="1" t="s">
        <v>32</v>
      </c>
      <c r="M10" s="5" t="s">
        <v>49</v>
      </c>
      <c r="N10" s="5" t="s">
        <v>131</v>
      </c>
      <c r="O10" s="5" t="s">
        <v>132</v>
      </c>
      <c r="P10" s="5" t="s">
        <v>36</v>
      </c>
      <c r="Q10" s="5" t="s">
        <v>133</v>
      </c>
      <c r="R10" s="5" t="str">
        <f>INDEX(Requirements!$B$2:$B$28,MATCH(A10,Requirements!$A$2:$A$28,0))</f>
        <v>Allow authorised staff to assign a request or accept responsibility for it.</v>
      </c>
      <c r="S10" s="8" t="s">
        <v>38</v>
      </c>
      <c r="T10" s="8" t="s">
        <v>134</v>
      </c>
      <c r="U10" s="8" t="s">
        <v>40</v>
      </c>
      <c r="V10" s="8" t="s">
        <v>41</v>
      </c>
    </row>
    <row r="11" spans="1:22" ht="95.1" customHeight="1">
      <c r="A11" s="10" t="s">
        <v>135</v>
      </c>
      <c r="B11" s="10" t="s">
        <v>136</v>
      </c>
      <c r="C11" s="10" t="s">
        <v>108</v>
      </c>
      <c r="D11" s="10" t="s">
        <v>137</v>
      </c>
      <c r="E11" s="10" t="str">
        <f>INDEX(Requirements!$C$2:$C$28,MATCH(A11,Requirements!$A$2:$A$28,0))</f>
        <v>High</v>
      </c>
      <c r="F11" s="10" t="s">
        <v>138</v>
      </c>
      <c r="G11" s="10" t="s">
        <v>129</v>
      </c>
      <c r="H11" s="10" t="s">
        <v>139</v>
      </c>
      <c r="I11" s="10" t="s">
        <v>140</v>
      </c>
      <c r="J11" s="10" t="s">
        <v>30</v>
      </c>
      <c r="K11" s="10" t="inlineStr">
        <is>
          <t>Local combined candidate m3-combined-review-20261014; release NOT READY. docs/release-evidence.md.</t>
        </is>
      </c>
      <c r="L11" s="10" t="s">
        <v>61</v>
      </c>
      <c r="M11" s="6" t="s">
        <v>141</v>
      </c>
      <c r="N11" s="6" t="s">
        <v>142</v>
      </c>
      <c r="O11" s="6" t="s">
        <v>90</v>
      </c>
      <c r="P11" s="6" t="s">
        <v>36</v>
      </c>
      <c r="Q11" s="6" t="s">
        <v>143</v>
      </c>
      <c r="R11" s="6" t="str">
        <f>INDEX(Requirements!$B$2:$B$28,MATCH(A11,Requirements!$A$2:$A$28,0))</f>
        <v>Allow request status changes only through the agreed lifecycle.</v>
      </c>
      <c r="S11" s="8" t="s">
        <v>144</v>
      </c>
      <c r="T11" s="8" t="s">
        <v>145</v>
      </c>
      <c r="U11" s="8" t="s">
        <v>68</v>
      </c>
      <c r="V11" s="8" t="s">
        <v>69</v>
      </c>
    </row>
    <row r="12" spans="1:22" ht="95.1" customHeight="1">
      <c r="A12" s="1" t="s">
        <v>146</v>
      </c>
      <c r="B12" s="1" t="s">
        <v>147</v>
      </c>
      <c r="C12" s="1" t="s">
        <v>108</v>
      </c>
      <c r="D12" s="1" t="s">
        <v>148</v>
      </c>
      <c r="E12" s="1" t="str">
        <f>INDEX(Requirements!$C$2:$C$28,MATCH(A12,Requirements!$A$2:$A$28,0))</f>
        <v>High</v>
      </c>
      <c r="F12" s="1" t="s">
        <v>149</v>
      </c>
      <c r="G12" s="1" t="s">
        <v>74</v>
      </c>
      <c r="H12" s="1" t="s">
        <v>150</v>
      </c>
      <c r="I12" s="1" t="s">
        <v>151</v>
      </c>
      <c r="J12" s="1" t="s">
        <v>30</v>
      </c>
      <c r="K12" s="1" t="inlineStr">
        <is>
          <t>Local combined candidate m3-combined-review-20261014; release NOT READY. docs/release-evidence.md.</t>
        </is>
      </c>
      <c r="L12" s="1" t="s">
        <v>61</v>
      </c>
      <c r="M12" s="5" t="s">
        <v>152</v>
      </c>
      <c r="N12" s="5" t="s">
        <v>153</v>
      </c>
      <c r="O12" s="5" t="s">
        <v>90</v>
      </c>
      <c r="P12" s="5" t="s">
        <v>36</v>
      </c>
      <c r="Q12" s="5" t="s">
        <v>154</v>
      </c>
      <c r="R12" s="5" t="str">
        <f>INDEX(Requirements!$B$2:$B$28,MATCH(A12,Requirements!$A$2:$A$28,0))</f>
        <v>Allow staff to record comments, actions and resolution notes against a request.</v>
      </c>
      <c r="S12" s="8" t="s">
        <v>155</v>
      </c>
      <c r="T12" s="8" t="s">
        <v>156</v>
      </c>
      <c r="U12" s="8" t="s">
        <v>68</v>
      </c>
      <c r="V12" s="8" t="s">
        <v>69</v>
      </c>
    </row>
    <row r="13" spans="1:22" ht="95.1" customHeight="1">
      <c r="A13" s="10" t="s">
        <v>157</v>
      </c>
      <c r="B13" s="10" t="s">
        <v>158</v>
      </c>
      <c r="C13" s="10" t="s">
        <v>108</v>
      </c>
      <c r="D13" s="10" t="s">
        <v>159</v>
      </c>
      <c r="E13" s="10" t="str">
        <f>INDEX(Requirements!$C$2:$C$28,MATCH(A13,Requirements!$A$2:$A$28,0))</f>
        <v>High</v>
      </c>
      <c r="F13" s="10" t="s">
        <v>160</v>
      </c>
      <c r="G13" s="10" t="s">
        <v>129</v>
      </c>
      <c r="H13" s="10" t="s">
        <v>161</v>
      </c>
      <c r="I13" s="10" t="s">
        <v>162</v>
      </c>
      <c r="J13" s="10" t="s">
        <v>30</v>
      </c>
      <c r="K13" s="10" t="inlineStr">
        <is>
          <t>Local combined candidate m3-combined-review-20261014; release NOT READY. docs/release-evidence.md.</t>
        </is>
      </c>
      <c r="L13" s="10" t="s">
        <v>61</v>
      </c>
      <c r="M13" s="6" t="s">
        <v>88</v>
      </c>
      <c r="N13" s="6" t="s">
        <v>163</v>
      </c>
      <c r="O13" s="6" t="s">
        <v>90</v>
      </c>
      <c r="P13" s="6" t="s">
        <v>36</v>
      </c>
      <c r="Q13" s="6" t="s">
        <v>143</v>
      </c>
      <c r="R13" s="6" t="str">
        <f>INDEX(Requirements!$B$2:$B$28,MATCH(A13,Requirements!$A$2:$A$28,0))</f>
        <v>Allow authorised staff to resolve and close requests.</v>
      </c>
      <c r="S13" s="8" t="s">
        <v>164</v>
      </c>
      <c r="T13" s="8" t="s">
        <v>165</v>
      </c>
      <c r="U13" s="8" t="s">
        <v>68</v>
      </c>
      <c r="V13" s="8" t="s">
        <v>69</v>
      </c>
    </row>
    <row r="14" spans="1:22" ht="95.1" customHeight="1">
      <c r="A14" s="1" t="s">
        <v>166</v>
      </c>
      <c r="B14" s="1" t="s">
        <v>167</v>
      </c>
      <c r="C14" s="1" t="s">
        <v>168</v>
      </c>
      <c r="D14" s="1" t="s">
        <v>169</v>
      </c>
      <c r="E14" s="1" t="str">
        <f>INDEX(Requirements!$C$2:$C$28,MATCH(A14,Requirements!$A$2:$A$28,0))</f>
        <v>Medium</v>
      </c>
      <c r="F14" s="1" t="s">
        <v>170</v>
      </c>
      <c r="G14" s="1" t="s">
        <v>74</v>
      </c>
      <c r="H14" s="1" t="s">
        <v>28</v>
      </c>
      <c r="I14" s="1" t="s">
        <v>171</v>
      </c>
      <c r="J14" s="1" t="s">
        <v>30</v>
      </c>
      <c r="K14" s="1" t="inlineStr">
        <is>
          <t>Local combined candidate m3-combined-review-20261014; release NOT READY. docs/release-evidence.md.</t>
        </is>
      </c>
      <c r="L14" s="1" t="s">
        <v>32</v>
      </c>
      <c r="M14" s="5" t="s">
        <v>112</v>
      </c>
      <c r="N14" s="5" t="s">
        <v>172</v>
      </c>
      <c r="O14" s="5" t="s">
        <v>173</v>
      </c>
      <c r="P14" s="5" t="s">
        <v>36</v>
      </c>
      <c r="Q14" s="5" t="s">
        <v>174</v>
      </c>
      <c r="R14" s="5" t="str">
        <f>INDEX(Requirements!$B$2:$B$28,MATCH(A14,Requirements!$A$2:$A$28,0))</f>
        <v>Allow management to view counts of open, overdue, resolved and closed requests.</v>
      </c>
      <c r="S14" s="8" t="s">
        <v>38</v>
      </c>
      <c r="T14" s="8" t="s">
        <v>175</v>
      </c>
      <c r="U14" s="8" t="s">
        <v>40</v>
      </c>
      <c r="V14" s="8" t="s">
        <v>41</v>
      </c>
    </row>
    <row r="15" spans="1:22" ht="95.1" customHeight="1">
      <c r="A15" s="10" t="s">
        <v>176</v>
      </c>
      <c r="B15" s="10" t="s">
        <v>177</v>
      </c>
      <c r="C15" s="10" t="s">
        <v>178</v>
      </c>
      <c r="D15" s="10" t="s">
        <v>179</v>
      </c>
      <c r="E15" s="10" t="str">
        <f>INDEX(Requirements!$C$2:$C$28,MATCH(A15,Requirements!$A$2:$A$28,0))</f>
        <v>Medium</v>
      </c>
      <c r="F15" s="10" t="s">
        <v>180</v>
      </c>
      <c r="G15" s="10" t="s">
        <v>74</v>
      </c>
      <c r="H15" s="10" t="s">
        <v>28</v>
      </c>
      <c r="I15" s="10" t="s">
        <v>181</v>
      </c>
      <c r="J15" s="10" t="s">
        <v>30</v>
      </c>
      <c r="K15" s="10" t="inlineStr">
        <is>
          <t>Local combined candidate m3-combined-review-20261014; release NOT READY. docs/release-evidence.md.</t>
        </is>
      </c>
      <c r="L15" s="10" t="s">
        <v>32</v>
      </c>
      <c r="M15" s="6" t="s">
        <v>112</v>
      </c>
      <c r="N15" s="6" t="s">
        <v>182</v>
      </c>
      <c r="O15" s="6" t="s">
        <v>183</v>
      </c>
      <c r="P15" s="6" t="s">
        <v>36</v>
      </c>
      <c r="Q15" s="6" t="s">
        <v>174</v>
      </c>
      <c r="R15" s="6" t="str">
        <f>INDEX(Requirements!$B$2:$B$28,MATCH(A15,Requirements!$A$2:$A$28,0))</f>
        <v>Allow management to view requests and counts by category and status.</v>
      </c>
      <c r="S15" s="8" t="s">
        <v>38</v>
      </c>
      <c r="T15" s="8" t="s">
        <v>184</v>
      </c>
      <c r="U15" s="8" t="s">
        <v>40</v>
      </c>
      <c r="V15" s="8" t="s">
        <v>41</v>
      </c>
    </row>
    <row r="16" spans="1:22" ht="95.1" customHeight="1">
      <c r="A16" s="1" t="s">
        <v>185</v>
      </c>
      <c r="B16" s="1" t="s">
        <v>186</v>
      </c>
      <c r="C16" s="1" t="s">
        <v>187</v>
      </c>
      <c r="D16" s="1" t="s">
        <v>188</v>
      </c>
      <c r="E16" s="1" t="str">
        <f>INDEX(Requirements!$C$2:$C$28,MATCH(A16,Requirements!$A$2:$A$28,0))</f>
        <v>High</v>
      </c>
      <c r="F16" s="1" t="s">
        <v>189</v>
      </c>
      <c r="G16" s="1" t="s">
        <v>74</v>
      </c>
      <c r="H16" s="1" t="s">
        <v>190</v>
      </c>
      <c r="I16" s="1" t="s">
        <v>191</v>
      </c>
      <c r="J16" s="1" t="s">
        <v>30</v>
      </c>
      <c r="K16" s="1" t="inlineStr">
        <is>
          <t>Local combined candidate m3-combined-review-20261014; release NOT READY. docs/release-evidence.md.</t>
        </is>
      </c>
      <c r="L16" s="1" t="s">
        <v>61</v>
      </c>
      <c r="M16" s="5" t="s">
        <v>88</v>
      </c>
      <c r="N16" s="5" t="s">
        <v>192</v>
      </c>
      <c r="O16" s="5" t="s">
        <v>90</v>
      </c>
      <c r="P16" s="5" t="s">
        <v>36</v>
      </c>
      <c r="Q16" s="5" t="s">
        <v>193</v>
      </c>
      <c r="R16" s="5" t="str">
        <f>INDEX(Requirements!$B$2:$B$28,MATCH(A16,Requirements!$A$2:$A$28,0))</f>
        <v>Keep request history to support accountability and basic performance reporting.</v>
      </c>
      <c r="S16" s="8" t="s">
        <v>194</v>
      </c>
      <c r="T16" s="8" t="s">
        <v>195</v>
      </c>
      <c r="U16" s="8" t="s">
        <v>68</v>
      </c>
      <c r="V16" s="8" t="s">
        <v>69</v>
      </c>
    </row>
    <row r="17" spans="1:22" ht="95.1" customHeight="1">
      <c r="A17" s="10" t="s">
        <v>196</v>
      </c>
      <c r="B17" s="10" t="s">
        <v>197</v>
      </c>
      <c r="C17" s="10" t="s">
        <v>198</v>
      </c>
      <c r="D17" s="10" t="s">
        <v>199</v>
      </c>
      <c r="E17" s="10" t="str">
        <f>INDEX(Requirements!$C$2:$C$28,MATCH(A17,Requirements!$A$2:$A$28,0))</f>
        <v>High</v>
      </c>
      <c r="F17" s="10" t="s">
        <v>200</v>
      </c>
      <c r="G17" s="10" t="s">
        <v>58</v>
      </c>
      <c r="H17" s="10" t="s">
        <v>201</v>
      </c>
      <c r="I17" s="10" t="s">
        <v>202</v>
      </c>
      <c r="J17" s="10" t="s">
        <v>30</v>
      </c>
      <c r="K17" s="10" t="inlineStr">
        <is>
          <t>Local combined candidate m3-combined-review-20261014; release NOT READY. docs/release-evidence.md.</t>
        </is>
      </c>
      <c r="L17" s="10" t="s">
        <v>61</v>
      </c>
      <c r="M17" s="6" t="s">
        <v>62</v>
      </c>
      <c r="N17" s="6" t="s">
        <v>203</v>
      </c>
      <c r="O17" s="6" t="s">
        <v>204</v>
      </c>
      <c r="P17" s="6" t="s">
        <v>36</v>
      </c>
      <c r="Q17" s="6" t="s">
        <v>205</v>
      </c>
      <c r="R17" s="6" t="str">
        <f>INDEX(Requirements!$B$2:$B$28,MATCH(A17,Requirements!$A$2:$A$28,0))</f>
        <v>Authenticate users and apply Requester, Staff and Management permissions.</v>
      </c>
      <c r="S17" s="8" t="s">
        <v>206</v>
      </c>
      <c r="T17" s="8" t="s">
        <v>207</v>
      </c>
      <c r="U17" s="8" t="s">
        <v>68</v>
      </c>
      <c r="V17" s="8" t="s">
        <v>69</v>
      </c>
    </row>
    <row r="18" spans="1:22" ht="95.1" customHeight="1">
      <c r="A18" s="1" t="s">
        <v>208</v>
      </c>
      <c r="B18" s="1" t="s">
        <v>209</v>
      </c>
      <c r="C18" s="1" t="s">
        <v>210</v>
      </c>
      <c r="D18" s="1" t="s">
        <v>211</v>
      </c>
      <c r="E18" s="1" t="str">
        <f>INDEX(Requirements!$C$2:$C$28,MATCH(A18,Requirements!$A$2:$A$28,0))</f>
        <v>Medium</v>
      </c>
      <c r="F18" s="1" t="s">
        <v>212</v>
      </c>
      <c r="G18" s="1" t="s">
        <v>74</v>
      </c>
      <c r="H18" s="1" t="s">
        <v>28</v>
      </c>
      <c r="I18" s="1" t="s">
        <v>213</v>
      </c>
      <c r="J18" s="1" t="s">
        <v>30</v>
      </c>
      <c r="K18" s="1" t="inlineStr">
        <is>
          <t>Local combined candidate m3-combined-review-20261014; release NOT READY. docs/release-evidence.md.</t>
        </is>
      </c>
      <c r="L18" s="1" t="s">
        <v>32</v>
      </c>
      <c r="M18" s="5" t="s">
        <v>88</v>
      </c>
      <c r="N18" s="5" t="s">
        <v>214</v>
      </c>
      <c r="O18" s="5" t="s">
        <v>215</v>
      </c>
      <c r="P18" s="5" t="s">
        <v>36</v>
      </c>
      <c r="Q18" s="5" t="s">
        <v>216</v>
      </c>
      <c r="R18" s="5" t="str">
        <f>INDEX(Requirements!$B$2:$B$28,MATCH(A18,Requirements!$A$2:$A$28,0))</f>
        <v>Record a controlled priority for each request and allow authorised staff to change it.</v>
      </c>
      <c r="S18" s="8" t="s">
        <v>38</v>
      </c>
      <c r="T18" s="8" t="s">
        <v>217</v>
      </c>
      <c r="U18" s="8" t="s">
        <v>40</v>
      </c>
      <c r="V18" s="8" t="s">
        <v>41</v>
      </c>
    </row>
    <row r="19" spans="1:22" ht="95.1" customHeight="1">
      <c r="A19" s="10" t="s">
        <v>218</v>
      </c>
      <c r="B19" s="10" t="s">
        <v>219</v>
      </c>
      <c r="C19" s="10" t="s">
        <v>220</v>
      </c>
      <c r="D19" s="10" t="s">
        <v>221</v>
      </c>
      <c r="E19" s="10" t="str">
        <f>INDEX(Requirements!$C$2:$C$28,MATCH(A19,Requirements!$A$2:$A$28,0))</f>
        <v>Medium</v>
      </c>
      <c r="F19" s="10" t="s">
        <v>222</v>
      </c>
      <c r="G19" s="10" t="s">
        <v>129</v>
      </c>
      <c r="H19" s="10" t="s">
        <v>28</v>
      </c>
      <c r="I19" s="10" t="s">
        <v>223</v>
      </c>
      <c r="J19" s="10" t="s">
        <v>30</v>
      </c>
      <c r="K19" s="10" t="inlineStr">
        <is>
          <t>Local combined candidate m3-combined-review-20261014; release NOT READY. docs/release-evidence.md.</t>
        </is>
      </c>
      <c r="L19" s="10" t="s">
        <v>32</v>
      </c>
      <c r="M19" s="6" t="s">
        <v>33</v>
      </c>
      <c r="N19" s="6" t="s">
        <v>224</v>
      </c>
      <c r="O19" s="6" t="s">
        <v>225</v>
      </c>
      <c r="P19" s="6" t="s">
        <v>36</v>
      </c>
      <c r="Q19" s="6" t="s">
        <v>193</v>
      </c>
      <c r="R19" s="6" t="str">
        <f>INDEX(Requirements!$B$2:$B$28,MATCH(A19,Requirements!$A$2:$A$28,0))</f>
        <v>Allow staff to record due dates and identify overdue requests.</v>
      </c>
      <c r="S19" s="8" t="s">
        <v>38</v>
      </c>
      <c r="T19" s="8" t="s">
        <v>226</v>
      </c>
      <c r="U19" s="8" t="s">
        <v>40</v>
      </c>
      <c r="V19" s="8" t="s">
        <v>41</v>
      </c>
    </row>
    <row r="20" spans="1:22" ht="95.1" customHeight="1">
      <c r="A20" s="1" t="s">
        <v>227</v>
      </c>
      <c r="B20" s="1" t="s">
        <v>228</v>
      </c>
      <c r="C20" s="1" t="s">
        <v>229</v>
      </c>
      <c r="D20" s="1" t="s">
        <v>230</v>
      </c>
      <c r="E20" s="1" t="str">
        <f>INDEX(Requirements!$C$2:$C$28,MATCH(A20,Requirements!$A$2:$A$28,0))</f>
        <v>High</v>
      </c>
      <c r="F20" s="1" t="s">
        <v>231</v>
      </c>
      <c r="G20" s="1" t="s">
        <v>58</v>
      </c>
      <c r="H20" s="1" t="s">
        <v>232</v>
      </c>
      <c r="I20" s="1" t="s">
        <v>233</v>
      </c>
      <c r="J20" s="1" t="s">
        <v>30</v>
      </c>
      <c r="K20" s="1" t="inlineStr">
        <is>
          <t>Local combined candidate m3-combined-review-20261014; release NOT READY. docs/release-evidence.md.</t>
        </is>
      </c>
      <c r="L20" s="1" t="s">
        <v>61</v>
      </c>
      <c r="M20" s="5" t="s">
        <v>62</v>
      </c>
      <c r="N20" s="5" t="s">
        <v>234</v>
      </c>
      <c r="O20" s="5" t="s">
        <v>64</v>
      </c>
      <c r="P20" s="5" t="s">
        <v>36</v>
      </c>
      <c r="Q20" s="5" t="s">
        <v>235</v>
      </c>
      <c r="R20" s="5" t="str">
        <f>INDEX(Requirements!$B$2:$B$28,MATCH(A20,Requirements!$A$2:$A$28,0))</f>
        <v>Protect requests using role and record-level access controls.</v>
      </c>
      <c r="S20" s="8" t="s">
        <v>236</v>
      </c>
      <c r="T20" s="8" t="s">
        <v>237</v>
      </c>
      <c r="U20" s="8" t="s">
        <v>68</v>
      </c>
      <c r="V20" s="8" t="s">
        <v>69</v>
      </c>
    </row>
    <row r="21" spans="1:22" ht="95.1" customHeight="1">
      <c r="A21" s="10" t="s">
        <v>238</v>
      </c>
      <c r="B21" s="10" t="s">
        <v>239</v>
      </c>
      <c r="C21" s="10" t="s">
        <v>240</v>
      </c>
      <c r="D21" s="10" t="s">
        <v>241</v>
      </c>
      <c r="E21" s="10" t="str">
        <f>INDEX(Requirements!$C$2:$C$28,MATCH(A21,Requirements!$A$2:$A$28,0))</f>
        <v>Medium</v>
      </c>
      <c r="F21" s="10" t="s">
        <v>242</v>
      </c>
      <c r="G21" s="10" t="s">
        <v>243</v>
      </c>
      <c r="H21" s="10" t="inlineStr">
        <is>
          <t>PR16 source 4a7cebe; tests/CivicConnect.PerformanceTests/Program.cs; EfRequestReader/PostgreSQL. Combined locally with Cameron status/API increment.</t>
        </is>
      </c>
      <c r="I21" s="10" t="inlineStr">
        <is>
          <t>PERF-01: 200 reads, max 10 concurrent; 200 successes, 0 errors; 1.62 ms mean, 0.41 ms median, 8.69 ms p95; 0.12 s; 1696.16 ops/sec.</t>
        </is>
      </c>
      <c r="J21" s="10" t="inlineStr">
        <is>
          <t>M2 acceptance criteria retained. 14 October 2026: PERF-01 and Michael second-run confirmation added; limited performance evidence only.</t>
        </is>
      </c>
      <c r="K21" s="10" t="inlineStr">
        <is>
          <t>Local combined candidate m3-combined-review-20261014; release NOT READY. docs/release-evidence.md.</t>
        </is>
      </c>
      <c r="L21" s="10" t="inlineStr">
        <is>
          <t>In Development</t>
        </is>
      </c>
      <c r="M21" s="6" t="s">
        <v>245</v>
      </c>
      <c r="N21" s="6" t="inlineStr">
        <is>
          <t>EfRequestReader; EF Core/PostgreSQL; separate concurrent-read benchmark</t>
        </is>
      </c>
      <c r="O21" s="6" t="inlineStr">
        <is>
          <t>One temporary request; separate DbContext per read; setup/cleanup excluded from measured workload.</t>
        </is>
      </c>
      <c r="P21" s="6" t="s">
        <v>36</v>
      </c>
      <c r="Q21" s="6" t="inlineStr">
        <is>
          <t>R-016; R-022; R-057; M3-R05</t>
        </is>
      </c>
      <c r="R21" s="6" t="str">
        <f>INDEX(Requirements!$B$2:$B$28,MATCH(A21,Requirements!$A$2:$A$28,0))</f>
        <v>Complete at least 95% of submissions, status views, staff searches and management summaries within 3 seconds at pilot load, with at most 1% failures.</v>
      </c>
      <c r="S21" s="8" t="inlineStr">
        <is>
          <t>No separate database-level target. Observed: 200/200 reads succeed; 1.62 ms mean, 8.69 ms p95. Full user-visible pilot acceptance not established.</t>
        </is>
      </c>
      <c r="T21" s="8" t="inlineStr">
        <is>
          <t>AC-NFR-002-1/2 unchanged: 1000 requests, 10 users, 10 minutes after 2-minute warm-up; user-visible timings/cold start untested. Exact execution commit not recorded.</t>
        </is>
      </c>
      <c r="U21" s="8" t="inlineStr">
        <is>
          <t>docs/evidence/m3-performance-results.txt; docs/evidence/m3-performance-run-confirmation.md; PED 7.3.7. PR16 source 4a7cebe; execution SHA unconfirmed.</t>
        </is>
      </c>
      <c r="V21" s="8" t="inlineStr">
        <is>
          <t>14 October 2026; Michael Ellis 600332; macOS; SDK 8.0.425; EF Core 8; PostgreSQL 17. Second run confirmed through Cameron.</t>
        </is>
      </c>
    </row>
    <row r="22" spans="1:22" ht="95.1" customHeight="1">
      <c r="A22" s="1" t="s">
        <v>249</v>
      </c>
      <c r="B22" s="1" t="s">
        <v>250</v>
      </c>
      <c r="C22" s="1" t="s">
        <v>251</v>
      </c>
      <c r="D22" s="1" t="s">
        <v>252</v>
      </c>
      <c r="E22" s="1" t="str">
        <f>INDEX(Requirements!$C$2:$C$28,MATCH(A22,Requirements!$A$2:$A$28,0))</f>
        <v>High</v>
      </c>
      <c r="F22" s="1" t="s">
        <v>253</v>
      </c>
      <c r="G22" s="1" t="s">
        <v>85</v>
      </c>
      <c r="H22" s="1" t="s">
        <v>254</v>
      </c>
      <c r="I22" s="1" t="s">
        <v>255</v>
      </c>
      <c r="J22" s="1" t="s">
        <v>30</v>
      </c>
      <c r="K22" s="1" t="inlineStr">
        <is>
          <t>Local combined candidate m3-combined-review-20261014; release NOT READY. docs/release-evidence.md.</t>
        </is>
      </c>
      <c r="L22" s="1" t="s">
        <v>61</v>
      </c>
      <c r="M22" s="5" t="s">
        <v>49</v>
      </c>
      <c r="N22" s="5" t="s">
        <v>256</v>
      </c>
      <c r="O22" s="5" t="s">
        <v>90</v>
      </c>
      <c r="P22" s="5" t="s">
        <v>36</v>
      </c>
      <c r="Q22" s="5" t="s">
        <v>133</v>
      </c>
      <c r="R22" s="5" t="str">
        <f>INDEX(Requirements!$B$2:$B$28,MATCH(A22,Requirements!$A$2:$A$28,0))</f>
        <v>Save request data and its history together without partial updates.</v>
      </c>
      <c r="S22" s="8" t="s">
        <v>257</v>
      </c>
      <c r="T22" s="8" t="s">
        <v>258</v>
      </c>
      <c r="U22" s="8" t="s">
        <v>68</v>
      </c>
      <c r="V22" s="8" t="s">
        <v>69</v>
      </c>
    </row>
    <row r="23" spans="1:22" ht="95.1" customHeight="1">
      <c r="A23" s="10" t="s">
        <v>259</v>
      </c>
      <c r="B23" s="10" t="s">
        <v>260</v>
      </c>
      <c r="C23" s="10" t="s">
        <v>261</v>
      </c>
      <c r="D23" s="10" t="s">
        <v>262</v>
      </c>
      <c r="E23" s="10" t="str">
        <f>INDEX(Requirements!$C$2:$C$28,MATCH(A23,Requirements!$A$2:$A$28,0))</f>
        <v>Medium</v>
      </c>
      <c r="F23" s="10" t="s">
        <v>263</v>
      </c>
      <c r="G23" s="10" t="s">
        <v>264</v>
      </c>
      <c r="H23" s="10" t="s">
        <v>28</v>
      </c>
      <c r="I23" s="10" t="s">
        <v>265</v>
      </c>
      <c r="J23" s="10" t="s">
        <v>30</v>
      </c>
      <c r="K23" s="10" t="inlineStr">
        <is>
          <t>Local combined candidate m3-combined-review-20261014; release NOT READY. docs/release-evidence.md.</t>
        </is>
      </c>
      <c r="L23" s="10" t="s">
        <v>32</v>
      </c>
      <c r="M23" s="6" t="s">
        <v>266</v>
      </c>
      <c r="N23" s="6" t="s">
        <v>267</v>
      </c>
      <c r="O23" s="6" t="s">
        <v>268</v>
      </c>
      <c r="P23" s="6" t="s">
        <v>36</v>
      </c>
      <c r="Q23" s="6" t="s">
        <v>269</v>
      </c>
      <c r="R23" s="6" t="str">
        <f>INDEX(Requirements!$B$2:$B$28,MATCH(A23,Requirements!$A$2:$A$28,0))</f>
        <v>Make request submission and status checking easy for users with basic digital skills.</v>
      </c>
      <c r="S23" s="8" t="s">
        <v>38</v>
      </c>
      <c r="T23" s="8" t="s">
        <v>270</v>
      </c>
      <c r="U23" s="8" t="s">
        <v>40</v>
      </c>
      <c r="V23" s="8" t="s">
        <v>41</v>
      </c>
    </row>
    <row r="24" spans="1:22" ht="95.1" customHeight="1">
      <c r="A24" s="1" t="s">
        <v>271</v>
      </c>
      <c r="B24" s="1" t="s">
        <v>272</v>
      </c>
      <c r="C24" s="1" t="s">
        <v>273</v>
      </c>
      <c r="D24" s="1" t="s">
        <v>274</v>
      </c>
      <c r="E24" s="1" t="str">
        <f>INDEX(Requirements!$C$2:$C$28,MATCH(A24,Requirements!$A$2:$A$28,0))</f>
        <v>Medium</v>
      </c>
      <c r="F24" s="1" t="s">
        <v>275</v>
      </c>
      <c r="G24" s="1" t="s">
        <v>264</v>
      </c>
      <c r="H24" s="1" t="s">
        <v>28</v>
      </c>
      <c r="I24" s="1" t="s">
        <v>276</v>
      </c>
      <c r="J24" s="1" t="s">
        <v>30</v>
      </c>
      <c r="K24" s="1" t="inlineStr">
        <is>
          <t>Local combined candidate m3-combined-review-20261014; release NOT READY. docs/release-evidence.md.</t>
        </is>
      </c>
      <c r="L24" s="1" t="s">
        <v>32</v>
      </c>
      <c r="M24" s="5" t="s">
        <v>277</v>
      </c>
      <c r="N24" s="5" t="s">
        <v>278</v>
      </c>
      <c r="O24" s="5" t="s">
        <v>268</v>
      </c>
      <c r="P24" s="5" t="s">
        <v>36</v>
      </c>
      <c r="Q24" s="5" t="s">
        <v>269</v>
      </c>
      <c r="R24" s="5" t="str">
        <f>INDEX(Requirements!$B$2:$B$28,MATCH(A24,Requirements!$A$2:$A$28,0))</f>
        <v>Provide a responsive web interface that supports keyboard use.</v>
      </c>
      <c r="S24" s="8" t="s">
        <v>38</v>
      </c>
      <c r="T24" s="8" t="s">
        <v>279</v>
      </c>
      <c r="U24" s="8" t="s">
        <v>40</v>
      </c>
      <c r="V24" s="8" t="s">
        <v>41</v>
      </c>
    </row>
    <row r="25" spans="1:22" ht="95.1" customHeight="1">
      <c r="A25" s="10" t="s">
        <v>280</v>
      </c>
      <c r="B25" s="10" t="s">
        <v>281</v>
      </c>
      <c r="C25" s="10" t="s">
        <v>282</v>
      </c>
      <c r="D25" s="10" t="s">
        <v>283</v>
      </c>
      <c r="E25" s="10" t="str">
        <f>INDEX(Requirements!$C$2:$C$28,MATCH(A25,Requirements!$A$2:$A$28,0))</f>
        <v>High</v>
      </c>
      <c r="F25" s="10" t="s">
        <v>284</v>
      </c>
      <c r="G25" s="10" t="s">
        <v>285</v>
      </c>
      <c r="H25" s="10" t="s">
        <v>286</v>
      </c>
      <c r="I25" s="10" t="s">
        <v>287</v>
      </c>
      <c r="J25" s="10" t="s">
        <v>30</v>
      </c>
      <c r="K25" s="10" t="inlineStr">
        <is>
          <t>Local combined candidate m3-combined-review-20261014; release NOT READY. docs/release-evidence.md.</t>
        </is>
      </c>
      <c r="L25" s="10" t="s">
        <v>61</v>
      </c>
      <c r="M25" s="6" t="s">
        <v>288</v>
      </c>
      <c r="N25" s="6" t="s">
        <v>289</v>
      </c>
      <c r="O25" s="6" t="s">
        <v>290</v>
      </c>
      <c r="P25" s="6" t="s">
        <v>36</v>
      </c>
      <c r="Q25" s="6" t="s">
        <v>291</v>
      </c>
      <c r="R25" s="6" t="str">
        <f>INDEX(Requirements!$B$2:$B$28,MATCH(A25,Requirements!$A$2:$A$28,0))</f>
        <v>Use HTTPS to protect authentication and request data in deployed environments.</v>
      </c>
      <c r="S25" s="8" t="s">
        <v>292</v>
      </c>
      <c r="T25" s="8" t="s">
        <v>293</v>
      </c>
      <c r="U25" s="8" t="s">
        <v>68</v>
      </c>
      <c r="V25" s="8" t="s">
        <v>69</v>
      </c>
    </row>
    <row r="26" spans="1:22" ht="95.1" customHeight="1">
      <c r="A26" s="1" t="s">
        <v>294</v>
      </c>
      <c r="B26" s="1" t="s">
        <v>295</v>
      </c>
      <c r="C26" s="1" t="s">
        <v>296</v>
      </c>
      <c r="D26" s="1" t="s">
        <v>297</v>
      </c>
      <c r="E26" s="1" t="str">
        <f>INDEX(Requirements!$C$2:$C$28,MATCH(A26,Requirements!$A$2:$A$28,0))</f>
        <v>Medium</v>
      </c>
      <c r="F26" s="1" t="s">
        <v>298</v>
      </c>
      <c r="G26" s="1" t="s">
        <v>47</v>
      </c>
      <c r="H26" s="1" t="s">
        <v>28</v>
      </c>
      <c r="I26" s="1" t="s">
        <v>299</v>
      </c>
      <c r="J26" s="1" t="s">
        <v>30</v>
      </c>
      <c r="K26" s="1" t="inlineStr">
        <is>
          <t>Local combined candidate m3-combined-review-20261014; release NOT READY. docs/release-evidence.md.</t>
        </is>
      </c>
      <c r="L26" s="1" t="s">
        <v>32</v>
      </c>
      <c r="M26" s="5" t="s">
        <v>300</v>
      </c>
      <c r="N26" s="5" t="s">
        <v>301</v>
      </c>
      <c r="O26" s="5" t="s">
        <v>302</v>
      </c>
      <c r="P26" s="5" t="s">
        <v>36</v>
      </c>
      <c r="Q26" s="5" t="s">
        <v>303</v>
      </c>
      <c r="R26" s="5" t="str">
        <f>INDEX(Requirements!$B$2:$B$28,MATCH(A26,Requirements!$A$2:$A$28,0))</f>
        <v>Support recovery with no more than 24 hours of lost data and restoration within four hours.</v>
      </c>
      <c r="S26" s="8" t="s">
        <v>38</v>
      </c>
      <c r="T26" s="8" t="s">
        <v>304</v>
      </c>
      <c r="U26" s="8" t="s">
        <v>40</v>
      </c>
      <c r="V26" s="8" t="s">
        <v>41</v>
      </c>
    </row>
    <row r="27" spans="1:22" ht="95.1" customHeight="1">
      <c r="A27" s="10" t="s">
        <v>305</v>
      </c>
      <c r="B27" s="10" t="s">
        <v>306</v>
      </c>
      <c r="C27" s="10" t="s">
        <v>307</v>
      </c>
      <c r="D27" s="10" t="s">
        <v>308</v>
      </c>
      <c r="E27" s="10" t="str">
        <f>INDEX(Requirements!$C$2:$C$28,MATCH(A27,Requirements!$A$2:$A$28,0))</f>
        <v>High</v>
      </c>
      <c r="F27" s="10" t="s">
        <v>309</v>
      </c>
      <c r="G27" s="10" t="s">
        <v>310</v>
      </c>
      <c r="H27" s="10" t="s">
        <v>311</v>
      </c>
      <c r="I27" s="10" t="s">
        <v>312</v>
      </c>
      <c r="J27" s="10" t="s">
        <v>30</v>
      </c>
      <c r="K27" s="10" t="inlineStr">
        <is>
          <t>Local combined candidate m3-combined-review-20261014; release NOT READY. docs/release-evidence.md.</t>
        </is>
      </c>
      <c r="L27" s="10" t="s">
        <v>61</v>
      </c>
      <c r="M27" s="6" t="s">
        <v>313</v>
      </c>
      <c r="N27" s="6" t="s">
        <v>314</v>
      </c>
      <c r="O27" s="6" t="s">
        <v>315</v>
      </c>
      <c r="P27" s="6" t="s">
        <v>36</v>
      </c>
      <c r="Q27" s="6" t="s">
        <v>316</v>
      </c>
      <c r="R27" s="6" t="str">
        <f>INDEX(Requirements!$B$2:$B$28,MATCH(A27,Requirements!$A$2:$A$28,0))</f>
        <v>Keep sensitive information out of application logs and error messages.</v>
      </c>
      <c r="S27" s="8" t="s">
        <v>317</v>
      </c>
      <c r="T27" s="8" t="s">
        <v>318</v>
      </c>
      <c r="U27" s="8" t="s">
        <v>68</v>
      </c>
      <c r="V27" s="8" t="s">
        <v>69</v>
      </c>
    </row>
    <row r="28" spans="1:22" ht="95.1" customHeight="1">
      <c r="A28" s="1" t="s">
        <v>319</v>
      </c>
      <c r="B28" s="1" t="s">
        <v>320</v>
      </c>
      <c r="C28" s="1" t="s">
        <v>321</v>
      </c>
      <c r="D28" s="1" t="s">
        <v>322</v>
      </c>
      <c r="E28" s="1" t="str">
        <f>INDEX(Requirements!$C$2:$C$28,MATCH(A28,Requirements!$A$2:$A$28,0))</f>
        <v>High</v>
      </c>
      <c r="F28" s="1" t="s">
        <v>323</v>
      </c>
      <c r="G28" s="1" t="s">
        <v>324</v>
      </c>
      <c r="H28" s="1" t="s">
        <v>325</v>
      </c>
      <c r="I28" s="1" t="s">
        <v>326</v>
      </c>
      <c r="J28" s="1" t="s">
        <v>30</v>
      </c>
      <c r="K28" s="1" t="inlineStr">
        <is>
          <t>Local combined candidate m3-combined-review-20261014; release NOT READY. docs/release-evidence.md.</t>
        </is>
      </c>
      <c r="L28" s="1" t="s">
        <v>61</v>
      </c>
      <c r="M28" s="5" t="s">
        <v>327</v>
      </c>
      <c r="N28" s="5" t="s">
        <v>328</v>
      </c>
      <c r="O28" s="5" t="s">
        <v>329</v>
      </c>
      <c r="P28" s="5" t="s">
        <v>36</v>
      </c>
      <c r="Q28" s="5" t="s">
        <v>330</v>
      </c>
      <c r="R28" s="5" t="str">
        <f>INDEX(Requirements!$B$2:$B$28,MATCH(A28,Requirements!$A$2:$A$28,0))</f>
        <v>Allow core request rules to be tested with controlled data in a separate test environment.</v>
      </c>
      <c r="S28" s="8" t="s">
        <v>331</v>
      </c>
      <c r="T28" s="8" t="s">
        <v>332</v>
      </c>
      <c r="U28" s="8" t="s">
        <v>68</v>
      </c>
      <c r="V28" s="8" t="s">
        <v>69</v>
      </c>
    </row>
    <row r="31" spans="1:22" ht="45" customHeight="1">
      <c r="A31" s="2" t="s">
        <v>333</v>
      </c>
      <c r="B31" s="11" t="s">
        <v>334</v>
      </c>
      <c r="C31" s="12"/>
      <c r="D31" s="12"/>
      <c r="E31" s="12"/>
      <c r="F31" s="12"/>
      <c r="G31" s="4"/>
      <c r="H31" s="4"/>
      <c r="I31" s="4"/>
      <c r="J31" s="4"/>
      <c r="K31" s="4"/>
      <c r="L31" s="4"/>
    </row>
    <row r="32" spans="1:22" ht="45" customHeight="1">
      <c r="A32" s="2" t="s">
        <v>335</v>
      </c>
      <c r="B32" s="11" t="s">
        <v>336</v>
      </c>
      <c r="C32" s="12"/>
      <c r="D32" s="12"/>
      <c r="E32" s="12"/>
      <c r="F32" s="12"/>
      <c r="G32" s="4"/>
      <c r="H32" s="4"/>
      <c r="I32" s="4"/>
      <c r="J32" s="4"/>
      <c r="K32" s="4"/>
      <c r="L32" s="4"/>
    </row>
    <row r="33" spans="1:12" ht="45" customHeight="1">
      <c r="A33" s="2" t="s">
        <v>337</v>
      </c>
      <c r="B33" s="11" t="s">
        <v>338</v>
      </c>
      <c r="C33" s="12"/>
      <c r="D33" s="12"/>
      <c r="E33" s="12"/>
      <c r="F33" s="12"/>
      <c r="G33" s="4"/>
      <c r="H33" s="4"/>
      <c r="I33" s="4"/>
      <c r="J33" s="4"/>
      <c r="K33" s="4"/>
      <c r="L33" s="4"/>
    </row>
    <row r="34" spans="1:12" ht="45" customHeight="1">
      <c r="A34" s="2" t="s">
        <v>339</v>
      </c>
      <c r="B34" s="11" t="s">
        <v>340</v>
      </c>
      <c r="C34" s="12"/>
      <c r="D34" s="12"/>
      <c r="E34" s="12"/>
      <c r="F34" s="12"/>
      <c r="G34" s="4"/>
      <c r="H34" s="4"/>
      <c r="I34" s="4"/>
      <c r="J34" s="4"/>
      <c r="K34" s="4"/>
      <c r="L34" s="4"/>
    </row>
    <row r="35" spans="1:12">
      <c r="A35" t="s">
        <v>341</v>
      </c>
      <c r="B35" s="4" t="s">
        <v>342</v>
      </c>
      <c r="C35" s="4"/>
      <c r="D35" s="4"/>
      <c r="E35" s="4"/>
      <c r="F35" s="4"/>
      <c r="G35" s="4"/>
      <c r="H35" s="4"/>
      <c r="I35" s="4"/>
      <c r="J35" s="4"/>
      <c r="K35" s="4"/>
      <c r="L35" s="4"/>
    </row>
    <row r="36" spans="1:12">
      <c r="A36" t="s">
        <v>343</v>
      </c>
      <c r="B36" s="4" t="s">
        <v>344</v>
      </c>
      <c r="C36" s="4"/>
      <c r="D36" s="4"/>
      <c r="E36" s="4"/>
      <c r="F36" s="4"/>
      <c r="G36" s="4"/>
      <c r="H36" s="4"/>
      <c r="I36" s="4"/>
      <c r="J36" s="4"/>
      <c r="K36" s="4"/>
      <c r="L36" s="4"/>
    </row>
    <row r="37" spans="1:12">
      <c r="A37" t="s">
        <v>345</v>
      </c>
      <c r="B37" s="4" t="s">
        <v>346</v>
      </c>
      <c r="C37" s="4"/>
      <c r="D37" s="4"/>
      <c r="E37" s="4"/>
      <c r="F37" s="4"/>
      <c r="G37" s="4"/>
      <c r="H37" s="4"/>
      <c r="I37" s="4"/>
      <c r="J37" s="4"/>
      <c r="K37" s="4"/>
      <c r="L37" s="4"/>
    </row>
    <row r="38" spans="1:12">
      <c r="A38" t="s">
        <v>347</v>
      </c>
      <c r="B38" s="4" t="s">
        <v>348</v>
      </c>
      <c r="C38" s="4"/>
      <c r="D38" s="4"/>
      <c r="E38" s="4"/>
      <c r="F38" s="4"/>
      <c r="G38" s="4"/>
      <c r="H38" s="4"/>
      <c r="I38" s="4"/>
      <c r="J38" s="4"/>
      <c r="K38" s="4"/>
      <c r="L38" s="4"/>
    </row>
  </sheetData>
  <mergeCells count="4">
    <mergeCell ref="B31:F31"/>
    <mergeCell ref="B32:F32"/>
    <mergeCell ref="B33:F33"/>
    <mergeCell ref="B34:F34"/>
  </mergeCells>
  <dataValidations count="1">
    <dataValidation type="list" sqref="L2:L28" xr:uid="{00000000-0002-0000-0000-000000000000}">
      <formula1>"Planned,In Development,Implemented,Verification Failed,Verified"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7"/>
  <sheetViews>
    <sheetView showGridLines="0" workbookViewId="0">
      <pane xSplit="1" ySplit="1" topLeftCell="B2" activePane="bottomRight" state="frozen"/>
      <selection pane="bottomRight"/>
      <selection pane="bottomLeft"/>
      <selection pane="topRight"/>
    </sheetView>
  </sheetViews>
  <sheetFormatPr defaultRowHeight="15"/>
  <cols>
    <col min="1" max="1" width="11.625" customWidth="1"/>
    <col min="2" max="2" width="48.875" customWidth="1"/>
    <col min="3" max="3" width="10" customWidth="1"/>
    <col min="4" max="5" width="52.25" customWidth="1"/>
  </cols>
  <sheetData>
    <row r="1" spans="1:5" ht="33.950000000000003" customHeight="1">
      <c r="A1" s="9" t="s">
        <v>349</v>
      </c>
      <c r="B1" s="9" t="s">
        <v>1</v>
      </c>
      <c r="C1" s="9" t="s">
        <v>4</v>
      </c>
      <c r="D1" s="9" t="s">
        <v>350</v>
      </c>
      <c r="E1" s="9" t="s">
        <v>351</v>
      </c>
    </row>
    <row r="2" spans="1:5" ht="42" customHeight="1">
      <c r="A2" s="1" t="s">
        <v>22</v>
      </c>
      <c r="B2" s="1" t="s">
        <v>352</v>
      </c>
      <c r="C2" s="1" t="s">
        <v>353</v>
      </c>
      <c r="D2" s="1" t="s">
        <v>354</v>
      </c>
      <c r="E2" s="1" t="s">
        <v>355</v>
      </c>
    </row>
    <row r="3" spans="1:5" ht="42" customHeight="1">
      <c r="A3" s="10" t="s">
        <v>42</v>
      </c>
      <c r="B3" s="10" t="s">
        <v>356</v>
      </c>
      <c r="C3" s="10" t="s">
        <v>353</v>
      </c>
      <c r="D3" s="10" t="s">
        <v>357</v>
      </c>
      <c r="E3" s="10" t="s">
        <v>358</v>
      </c>
    </row>
    <row r="4" spans="1:5" ht="42" customHeight="1">
      <c r="A4" s="1" t="s">
        <v>54</v>
      </c>
      <c r="B4" s="1" t="s">
        <v>359</v>
      </c>
      <c r="C4" s="1" t="s">
        <v>353</v>
      </c>
      <c r="D4" s="1" t="s">
        <v>360</v>
      </c>
      <c r="E4" s="1" t="s">
        <v>361</v>
      </c>
    </row>
    <row r="5" spans="1:5" ht="42" customHeight="1">
      <c r="A5" s="10" t="s">
        <v>70</v>
      </c>
      <c r="B5" s="10" t="s">
        <v>362</v>
      </c>
      <c r="C5" s="10" t="s">
        <v>363</v>
      </c>
      <c r="D5" s="10" t="s">
        <v>364</v>
      </c>
      <c r="E5" s="10" t="s">
        <v>365</v>
      </c>
    </row>
    <row r="6" spans="1:5" ht="42" customHeight="1">
      <c r="A6" s="1" t="s">
        <v>80</v>
      </c>
      <c r="B6" s="1" t="s">
        <v>366</v>
      </c>
      <c r="C6" s="1" t="s">
        <v>363</v>
      </c>
      <c r="D6" s="1" t="s">
        <v>367</v>
      </c>
      <c r="E6" s="1" t="s">
        <v>368</v>
      </c>
    </row>
    <row r="7" spans="1:5" ht="42" customHeight="1">
      <c r="A7" s="10" t="s">
        <v>94</v>
      </c>
      <c r="B7" s="10" t="s">
        <v>369</v>
      </c>
      <c r="C7" s="10" t="s">
        <v>353</v>
      </c>
      <c r="D7" s="10" t="s">
        <v>370</v>
      </c>
      <c r="E7" s="10" t="s">
        <v>371</v>
      </c>
    </row>
    <row r="8" spans="1:5" ht="42" customHeight="1">
      <c r="A8" s="1" t="s">
        <v>106</v>
      </c>
      <c r="B8" s="1" t="s">
        <v>372</v>
      </c>
      <c r="C8" s="1" t="s">
        <v>363</v>
      </c>
      <c r="D8" s="1" t="s">
        <v>373</v>
      </c>
      <c r="E8" s="1" t="s">
        <v>374</v>
      </c>
    </row>
    <row r="9" spans="1:5" ht="42" customHeight="1">
      <c r="A9" s="10" t="s">
        <v>117</v>
      </c>
      <c r="B9" s="10" t="s">
        <v>375</v>
      </c>
      <c r="C9" s="10" t="s">
        <v>353</v>
      </c>
      <c r="D9" s="10" t="s">
        <v>376</v>
      </c>
      <c r="E9" s="10" t="s">
        <v>377</v>
      </c>
    </row>
    <row r="10" spans="1:5" ht="42" customHeight="1">
      <c r="A10" s="1" t="s">
        <v>125</v>
      </c>
      <c r="B10" s="1" t="s">
        <v>378</v>
      </c>
      <c r="C10" s="1" t="s">
        <v>353</v>
      </c>
      <c r="D10" s="1" t="s">
        <v>379</v>
      </c>
      <c r="E10" s="1" t="s">
        <v>380</v>
      </c>
    </row>
    <row r="11" spans="1:5" ht="42" customHeight="1">
      <c r="A11" s="10" t="s">
        <v>135</v>
      </c>
      <c r="B11" s="10" t="s">
        <v>381</v>
      </c>
      <c r="C11" s="10" t="s">
        <v>353</v>
      </c>
      <c r="D11" s="10" t="s">
        <v>382</v>
      </c>
      <c r="E11" s="10" t="s">
        <v>383</v>
      </c>
    </row>
    <row r="12" spans="1:5" ht="42" customHeight="1">
      <c r="A12" s="1" t="s">
        <v>146</v>
      </c>
      <c r="B12" s="1" t="s">
        <v>384</v>
      </c>
      <c r="C12" s="1" t="s">
        <v>353</v>
      </c>
      <c r="D12" s="1" t="s">
        <v>385</v>
      </c>
      <c r="E12" s="1" t="s">
        <v>386</v>
      </c>
    </row>
    <row r="13" spans="1:5" ht="42" customHeight="1">
      <c r="A13" s="10" t="s">
        <v>157</v>
      </c>
      <c r="B13" s="10" t="s">
        <v>387</v>
      </c>
      <c r="C13" s="10" t="s">
        <v>353</v>
      </c>
      <c r="D13" s="10" t="s">
        <v>388</v>
      </c>
      <c r="E13" s="10" t="s">
        <v>389</v>
      </c>
    </row>
    <row r="14" spans="1:5" ht="42" customHeight="1">
      <c r="A14" s="1" t="s">
        <v>166</v>
      </c>
      <c r="B14" s="1" t="s">
        <v>390</v>
      </c>
      <c r="C14" s="1" t="s">
        <v>363</v>
      </c>
      <c r="D14" s="1" t="s">
        <v>391</v>
      </c>
      <c r="E14" s="1" t="s">
        <v>392</v>
      </c>
    </row>
    <row r="15" spans="1:5" ht="42" customHeight="1">
      <c r="A15" s="10" t="s">
        <v>176</v>
      </c>
      <c r="B15" s="10" t="s">
        <v>393</v>
      </c>
      <c r="C15" s="10" t="s">
        <v>363</v>
      </c>
      <c r="D15" s="10" t="s">
        <v>394</v>
      </c>
      <c r="E15" s="10" t="s">
        <v>395</v>
      </c>
    </row>
    <row r="16" spans="1:5" ht="42" customHeight="1">
      <c r="A16" s="1" t="s">
        <v>185</v>
      </c>
      <c r="B16" s="1" t="s">
        <v>396</v>
      </c>
      <c r="C16" s="1" t="s">
        <v>353</v>
      </c>
      <c r="D16" s="1" t="s">
        <v>397</v>
      </c>
      <c r="E16" s="1" t="s">
        <v>398</v>
      </c>
    </row>
    <row r="17" spans="1:5" ht="42" customHeight="1">
      <c r="A17" s="10" t="s">
        <v>196</v>
      </c>
      <c r="B17" s="10" t="s">
        <v>399</v>
      </c>
      <c r="C17" s="10" t="s">
        <v>353</v>
      </c>
      <c r="D17" s="10" t="s">
        <v>400</v>
      </c>
      <c r="E17" s="10" t="s">
        <v>401</v>
      </c>
    </row>
    <row r="18" spans="1:5" ht="42" customHeight="1">
      <c r="A18" s="1" t="s">
        <v>208</v>
      </c>
      <c r="B18" s="1" t="s">
        <v>402</v>
      </c>
      <c r="C18" s="1" t="s">
        <v>363</v>
      </c>
      <c r="D18" s="1" t="s">
        <v>403</v>
      </c>
      <c r="E18" s="1" t="s">
        <v>404</v>
      </c>
    </row>
    <row r="19" spans="1:5" ht="42" customHeight="1">
      <c r="A19" s="10" t="s">
        <v>218</v>
      </c>
      <c r="B19" s="10" t="s">
        <v>405</v>
      </c>
      <c r="C19" s="10" t="s">
        <v>363</v>
      </c>
      <c r="D19" s="10" t="s">
        <v>406</v>
      </c>
      <c r="E19" s="10" t="s">
        <v>407</v>
      </c>
    </row>
    <row r="20" spans="1:5" ht="42" customHeight="1">
      <c r="A20" s="1" t="s">
        <v>227</v>
      </c>
      <c r="B20" s="1" t="s">
        <v>408</v>
      </c>
      <c r="C20" s="1" t="s">
        <v>353</v>
      </c>
      <c r="D20" s="1" t="s">
        <v>409</v>
      </c>
      <c r="E20" s="1" t="s">
        <v>410</v>
      </c>
    </row>
    <row r="21" spans="1:5" ht="57" customHeight="1">
      <c r="A21" s="10" t="s">
        <v>238</v>
      </c>
      <c r="B21" s="10" t="s">
        <v>411</v>
      </c>
      <c r="C21" s="10" t="s">
        <v>363</v>
      </c>
      <c r="D21" s="10" t="s">
        <v>412</v>
      </c>
      <c r="E21" s="10" t="s">
        <v>413</v>
      </c>
    </row>
    <row r="22" spans="1:5" ht="42" customHeight="1">
      <c r="A22" s="1" t="s">
        <v>249</v>
      </c>
      <c r="B22" s="1" t="s">
        <v>414</v>
      </c>
      <c r="C22" s="1" t="s">
        <v>353</v>
      </c>
      <c r="D22" s="1" t="s">
        <v>415</v>
      </c>
      <c r="E22" s="1" t="s">
        <v>416</v>
      </c>
    </row>
    <row r="23" spans="1:5" ht="42" customHeight="1">
      <c r="A23" s="10" t="s">
        <v>259</v>
      </c>
      <c r="B23" s="10" t="s">
        <v>417</v>
      </c>
      <c r="C23" s="10" t="s">
        <v>363</v>
      </c>
      <c r="D23" s="10" t="s">
        <v>418</v>
      </c>
      <c r="E23" s="10" t="s">
        <v>419</v>
      </c>
    </row>
    <row r="24" spans="1:5" ht="42" customHeight="1">
      <c r="A24" s="1" t="s">
        <v>271</v>
      </c>
      <c r="B24" s="1" t="s">
        <v>420</v>
      </c>
      <c r="C24" s="1" t="s">
        <v>363</v>
      </c>
      <c r="D24" s="1" t="s">
        <v>421</v>
      </c>
      <c r="E24" s="1" t="s">
        <v>422</v>
      </c>
    </row>
    <row r="25" spans="1:5" ht="42" customHeight="1">
      <c r="A25" s="10" t="s">
        <v>280</v>
      </c>
      <c r="B25" s="10" t="s">
        <v>423</v>
      </c>
      <c r="C25" s="10" t="s">
        <v>353</v>
      </c>
      <c r="D25" s="10" t="s">
        <v>424</v>
      </c>
      <c r="E25" s="10" t="s">
        <v>425</v>
      </c>
    </row>
    <row r="26" spans="1:5" ht="42" customHeight="1">
      <c r="A26" s="1" t="s">
        <v>294</v>
      </c>
      <c r="B26" s="1" t="s">
        <v>426</v>
      </c>
      <c r="C26" s="1" t="s">
        <v>363</v>
      </c>
      <c r="D26" s="1" t="s">
        <v>427</v>
      </c>
      <c r="E26" s="1" t="s">
        <v>428</v>
      </c>
    </row>
    <row r="27" spans="1:5" ht="42" customHeight="1">
      <c r="A27" s="10" t="s">
        <v>305</v>
      </c>
      <c r="B27" s="10" t="s">
        <v>429</v>
      </c>
      <c r="C27" s="10" t="s">
        <v>353</v>
      </c>
      <c r="D27" s="10" t="s">
        <v>430</v>
      </c>
      <c r="E27" s="10" t="s">
        <v>431</v>
      </c>
    </row>
    <row r="28" spans="1:5" ht="42" customHeight="1">
      <c r="A28" s="1" t="s">
        <v>319</v>
      </c>
      <c r="B28" s="1" t="s">
        <v>432</v>
      </c>
      <c r="C28" s="1" t="s">
        <v>353</v>
      </c>
      <c r="D28" s="1" t="s">
        <v>433</v>
      </c>
      <c r="E28" s="1" t="s">
        <v>434</v>
      </c>
    </row>
    <row r="31" spans="1:5" ht="57.95" customHeight="1">
      <c r="A31" s="2" t="s">
        <v>435</v>
      </c>
      <c r="B31" s="11" t="s">
        <v>436</v>
      </c>
      <c r="C31" s="11"/>
      <c r="D31" s="11"/>
      <c r="E31" s="11"/>
    </row>
    <row r="32" spans="1:5" ht="57.95" customHeight="1">
      <c r="A32" s="2" t="s">
        <v>437</v>
      </c>
      <c r="B32" s="11" t="s">
        <v>438</v>
      </c>
      <c r="C32" s="11"/>
      <c r="D32" s="11"/>
      <c r="E32" s="11"/>
    </row>
    <row r="33" spans="1:5" ht="57.95" customHeight="1">
      <c r="A33" s="2" t="s">
        <v>439</v>
      </c>
      <c r="B33" s="11" t="s">
        <v>440</v>
      </c>
      <c r="C33" s="11"/>
      <c r="D33" s="11"/>
      <c r="E33" s="11"/>
    </row>
    <row r="34" spans="1:5" ht="57.95" customHeight="1">
      <c r="A34" s="2" t="s">
        <v>441</v>
      </c>
      <c r="B34" s="11" t="s">
        <v>442</v>
      </c>
      <c r="C34" s="11"/>
      <c r="D34" s="11"/>
      <c r="E34" s="11"/>
    </row>
    <row r="35" spans="1:5" ht="57.95" customHeight="1">
      <c r="A35" s="2" t="s">
        <v>443</v>
      </c>
      <c r="B35" s="11" t="s">
        <v>444</v>
      </c>
      <c r="C35" s="11"/>
      <c r="D35" s="11"/>
      <c r="E35" s="11"/>
    </row>
    <row r="36" spans="1:5" ht="57.95" customHeight="1">
      <c r="A36" s="2" t="s">
        <v>445</v>
      </c>
      <c r="B36" s="11" t="s">
        <v>446</v>
      </c>
      <c r="C36" s="11"/>
      <c r="D36" s="11"/>
      <c r="E36" s="11"/>
    </row>
    <row r="37" spans="1:5" ht="57.95" customHeight="1">
      <c r="A37" s="2" t="s">
        <v>447</v>
      </c>
      <c r="B37" s="11" t="s">
        <v>448</v>
      </c>
      <c r="C37" s="11"/>
      <c r="D37" s="11"/>
      <c r="E37" s="11"/>
    </row>
  </sheetData>
  <mergeCells count="7">
    <mergeCell ref="B36:E36"/>
    <mergeCell ref="B37:E37"/>
    <mergeCell ref="B31:E31"/>
    <mergeCell ref="B32:E32"/>
    <mergeCell ref="B33:E33"/>
    <mergeCell ref="B34:E34"/>
    <mergeCell ref="B35:E35"/>
  </mergeCells>
  <dataValidations count="1">
    <dataValidation type="list" sqref="C2:C28" xr:uid="{00000000-0002-0000-0100-000000000000}">
      <formula1>"High,Medium,Low"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2026-10-13T18:25:51Z</dcterms:created>
  <dcterms:modified xsi:type="dcterms:W3CDTF">2026-10-14T06:27:22Z</dcterms:modified>
  <cp:category/>
  <cp:contentStatus/>
</cp:coreProperties>
</file>