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045d7d7c1d41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TM" sheetId="1" r:id="Rd8d56583adce4b31"/>
    <x:sheet xmlns:r="http://schemas.openxmlformats.org/officeDocument/2006/relationships" name="Requirements" sheetId="2" r:id="R7edb6c19c68945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000000"/>
      <x:name val="Calibri"/>
    </x:font>
    <x:font>
      <x:b/>
      <x:sz val="11"/>
      <x:color rgb="FF000000"/>
      <x:name val="Calibri"/>
    </x:font>
    <x:font>
      <x:sz val="1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E7E6E6"/>
      </x:patternFill>
    </x:fill>
    <x:fill>
      <x:patternFill patternType="solid">
        <x:fgColor rgb="FFF5F5F5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b101e89e714731" /><Relationship Type="http://schemas.openxmlformats.org/officeDocument/2006/relationships/theme" Target="/xl/theme/theme1.xml" Id="Raeea7429fe224a0f" /><Relationship Type="http://schemas.openxmlformats.org/officeDocument/2006/relationships/sharedStrings" Target="/xl/sharedStrings.xml" Id="Rb58b0a253bc34be9" /><Relationship Type="http://schemas.openxmlformats.org/officeDocument/2006/relationships/worksheet" Target="/xl/worksheets/sheet1.xml" Id="Rd8d56583adce4b31" /><Relationship Type="http://schemas.openxmlformats.org/officeDocument/2006/relationships/worksheet" Target="/xl/worksheets/sheet2.xml" Id="R7edb6c19c68945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1.670000076293945" hidden="0" customWidth="1"/>
    <x:col min="2" max="2" width="26.110000610351562" hidden="0" customWidth="1"/>
    <x:col min="3" max="3" width="37.220001220703125" hidden="0" customWidth="1"/>
    <x:col min="4" max="4" width="27.780000686645508" hidden="0" customWidth="1"/>
    <x:col min="5" max="5" width="10" hidden="0" customWidth="1"/>
    <x:col min="6" max="6" width="32.220001220703125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18.329999923706055" hidden="0" customWidth="1"/>
  </x:cols>
  <x:sheetData>
    <x:row r="1" ht="34" customHeight="1">
      <x:c r="A1" s="5" t="str">
        <x:v>Requirement ID</x:v>
      </x:c>
      <x:c r="B1" s="5" t="str">
        <x:v>Requirement</x:v>
      </x:c>
      <x:c r="C1" s="5" t="str">
        <x:v>Stakeholder and source</x:v>
      </x:c>
      <x:c r="D1" s="5" t="str">
        <x:v>Scope reference</x:v>
      </x:c>
      <x:c r="E1" s="5" t="str">
        <x:v>Priority</x:v>
      </x:c>
      <x:c r="F1" s="5" t="str">
        <x:v>Acceptance IDs</x:v>
      </x:c>
      <x:c r="G1" s="5" t="str">
        <x:v>Design reference</x:v>
      </x:c>
      <x:c r="H1" s="5" t="str">
        <x:v>Issue / PR / code</x:v>
      </x:c>
      <x:c r="I1" s="5" t="str">
        <x:v>Test evidence</x:v>
      </x:c>
      <x:c r="J1" s="5" t="str">
        <x:v>Change reference</x:v>
      </x:c>
      <x:c r="K1" s="5" t="str">
        <x:v>Release evidence</x:v>
      </x:c>
      <x:c r="L1" s="5" t="str">
        <x:v>Implementation status</x:v>
      </x:c>
    </x:row>
    <x:row r="2" ht="27" customHeight="1">
      <x:c r="A2" s="3" t="str">
        <x:v>FR-001</x:v>
      </x:c>
      <x:c r="B2" s="3" t="str">
        <x:v>Submit a service request</x:v>
      </x:c>
      <x:c r="C2" s="3" t="str">
        <x:v>Requester; PED §1.2, §2.1.1; MB §3 Requester</x:v>
      </x:c>
      <x:c r="D2" s="3" t="str">
        <x:v>SR-IN-01</x:v>
      </x:c>
      <x:c r="E2" s="3" t="str">
        <x:f>INDEX(Requirements!$C$2:$C$28,MATCH(A2,Requirements!$A$2:$A$28,0))</x:f>
        <x:v>High</x:v>
      </x:c>
      <x:c r="F2" s="3" t="str">
        <x:v>AC-FR-001-1; AC-FR-001-2</x:v>
      </x:c>
      <x:c r="G2" s="3" t="str">
        <x:v>Not yet created</x:v>
      </x:c>
      <x:c r="H2" s="3" t="str">
        <x:v>Not yet created</x:v>
      </x:c>
      <x:c r="I2" s="3" t="str">
        <x:v>Not yet created</x:v>
      </x:c>
      <x:c r="J2" s="3" t="str">
        <x:v>No changes recorded</x:v>
      </x:c>
      <x:c r="K2" s="3" t="str">
        <x:v>Not yet created</x:v>
      </x:c>
      <x:c r="L2" s="3" t="str">
        <x:v>Not Started</x:v>
      </x:c>
    </x:row>
    <x:row r="3" ht="27" customHeight="1">
      <x:c r="A3" s="6" t="str">
        <x:v>FR-002</x:v>
      </x:c>
      <x:c r="B3" s="6" t="str">
        <x:v>Controlled request categories</x:v>
      </x:c>
      <x:c r="C3" s="6" t="str">
        <x:v>Requester; Staff; PED §2.1.1, A-02; MB §3 Requester</x:v>
      </x:c>
      <x:c r="D3" s="6" t="str">
        <x:v>SR-IN-02</x:v>
      </x:c>
      <x:c r="E3" s="6" t="str">
        <x:f>INDEX(Requirements!$C$2:$C$28,MATCH(A3,Requirements!$A$2:$A$28,0))</x:f>
        <x:v>High</x:v>
      </x:c>
      <x:c r="F3" s="6" t="str">
        <x:v>AC-FR-002-1; AC-FR-002-2</x:v>
      </x:c>
      <x:c r="G3" s="6" t="str">
        <x:v>Not yet created</x:v>
      </x:c>
      <x:c r="H3" s="6" t="str">
        <x:v>Not yet created</x:v>
      </x:c>
      <x:c r="I3" s="6" t="str">
        <x:v>Not yet created</x:v>
      </x:c>
      <x:c r="J3" s="6" t="str">
        <x:v>No changes recorded</x:v>
      </x:c>
      <x:c r="K3" s="6" t="str">
        <x:v>Not yet created</x:v>
      </x:c>
      <x:c r="L3" s="6" t="str">
        <x:v>Not Started</x:v>
      </x:c>
    </x:row>
    <x:row r="4" ht="27" customHeight="1">
      <x:c r="A4" s="3" t="str">
        <x:v>FR-003</x:v>
      </x:c>
      <x:c r="B4" s="3" t="str">
        <x:v>View own request status</x:v>
      </x:c>
      <x:c r="C4" s="3" t="str">
        <x:v>Requester; PED §1.2, §2.1.1; MB §3 Requester</x:v>
      </x:c>
      <x:c r="D4" s="3" t="str">
        <x:v>SR-IN-03</x:v>
      </x:c>
      <x:c r="E4" s="3" t="str">
        <x:f>INDEX(Requirements!$C$2:$C$28,MATCH(A4,Requirements!$A$2:$A$28,0))</x:f>
        <x:v>High</x:v>
      </x:c>
      <x:c r="F4" s="3" t="str">
        <x:v>AC-FR-003-1; AC-FR-003-2</x:v>
      </x:c>
      <x:c r="G4" s="3" t="str">
        <x:v>Not yet created</x:v>
      </x:c>
      <x:c r="H4" s="3" t="str">
        <x:v>Not yet created</x:v>
      </x:c>
      <x:c r="I4" s="3" t="str">
        <x:v>Not yet created</x:v>
      </x:c>
      <x:c r="J4" s="3" t="str">
        <x:v>No changes recorded</x:v>
      </x:c>
      <x:c r="K4" s="3" t="str">
        <x:v>Not yet created</x:v>
      </x:c>
      <x:c r="L4" s="3" t="str">
        <x:v>Not Started</x:v>
      </x:c>
    </x:row>
    <x:row r="5" ht="27" customHeight="1">
      <x:c r="A5" s="6" t="str">
        <x:v>FR-004</x:v>
      </x:c>
      <x:c r="B5" s="6" t="str">
        <x:v>View own request history</x:v>
      </x:c>
      <x:c r="C5" s="6" t="str">
        <x:v>Requester; PED §1.2, §2.1.1; MB §3 Requester</x:v>
      </x:c>
      <x:c r="D5" s="6" t="str">
        <x:v>SR-IN-04</x:v>
      </x:c>
      <x:c r="E5" s="6" t="str">
        <x:f>INDEX(Requirements!$C$2:$C$28,MATCH(A5,Requirements!$A$2:$A$28,0))</x:f>
        <x:v>Medium</x:v>
      </x:c>
      <x:c r="F5" s="6" t="str">
        <x:v>AC-FR-004-1; AC-FR-004-2</x:v>
      </x:c>
      <x:c r="G5" s="6" t="str">
        <x:v>Not yet created</x:v>
      </x:c>
      <x:c r="H5" s="6" t="str">
        <x:v>Not yet created</x:v>
      </x:c>
      <x:c r="I5" s="6" t="str">
        <x:v>Not yet created</x:v>
      </x:c>
      <x:c r="J5" s="6" t="str">
        <x:v>No changes recorded</x:v>
      </x:c>
      <x:c r="K5" s="6" t="str">
        <x:v>Not yet created</x:v>
      </x:c>
      <x:c r="L5" s="6" t="str">
        <x:v>Not Started</x:v>
      </x:c>
    </x:row>
    <x:row r="6" ht="42" customHeight="1">
      <x:c r="A6" s="3" t="str">
        <x:v>FR-005</x:v>
      </x:c>
      <x:c r="B6" s="3" t="str">
        <x:v>Requester feedback</x:v>
      </x:c>
      <x:c r="C6" s="3" t="str">
        <x:v>Requester; PED §2.1.1; §5.2 concern 5; MB §3 Requester</x:v>
      </x:c>
      <x:c r="D6" s="3" t="str">
        <x:v>SR-IN-05</x:v>
      </x:c>
      <x:c r="E6" s="3" t="str">
        <x:f>INDEX(Requirements!$C$2:$C$28,MATCH(A6,Requirements!$A$2:$A$28,0))</x:f>
        <x:v>Medium</x:v>
      </x:c>
      <x:c r="F6" s="3" t="str">
        <x:v>AC-FR-005-1; AC-FR-005-2</x:v>
      </x:c>
      <x:c r="G6" s="3" t="str">
        <x:v>Not yet created</x:v>
      </x:c>
      <x:c r="H6" s="3" t="str">
        <x:v>Not yet created</x:v>
      </x:c>
      <x:c r="I6" s="3" t="str">
        <x:v>Not yet created</x:v>
      </x:c>
      <x:c r="J6" s="3" t="str">
        <x:v>No changes recorded</x:v>
      </x:c>
      <x:c r="K6" s="3" t="str">
        <x:v>Not yet created</x:v>
      </x:c>
      <x:c r="L6" s="3" t="str">
        <x:v>Not Started</x:v>
      </x:c>
    </x:row>
    <x:row r="7" ht="27" customHeight="1">
      <x:c r="A7" s="6" t="str">
        <x:v>FR-006</x:v>
      </x:c>
      <x:c r="B7" s="6" t="str">
        <x:v>Authorised staff request list</x:v>
      </x:c>
      <x:c r="C7" s="6" t="str">
        <x:v>Staff; PED §1.2, §2.1.1, §2.2.3; MB §3 Staff</x:v>
      </x:c>
      <x:c r="D7" s="6" t="str">
        <x:v>SR-IN-06</x:v>
      </x:c>
      <x:c r="E7" s="6" t="str">
        <x:f>INDEX(Requirements!$C$2:$C$28,MATCH(A7,Requirements!$A$2:$A$28,0))</x:f>
        <x:v>High</x:v>
      </x:c>
      <x:c r="F7" s="6" t="str">
        <x:v>AC-FR-006-1; AC-FR-006-2</x:v>
      </x:c>
      <x:c r="G7" s="6" t="str">
        <x:v>Not yet created</x:v>
      </x:c>
      <x:c r="H7" s="6" t="str">
        <x:v>Not yet created</x:v>
      </x:c>
      <x:c r="I7" s="6" t="str">
        <x:v>Not yet created</x:v>
      </x:c>
      <x:c r="J7" s="6" t="str">
        <x:v>No changes recorded</x:v>
      </x:c>
      <x:c r="K7" s="6" t="str">
        <x:v>Not yet created</x:v>
      </x:c>
      <x:c r="L7" s="6" t="str">
        <x:v>Not Started</x:v>
      </x:c>
    </x:row>
    <x:row r="8" ht="27" customHeight="1">
      <x:c r="A8" s="3" t="str">
        <x:v>FR-007</x:v>
      </x:c>
      <x:c r="B8" s="3" t="str">
        <x:v>Search, filter and sort</x:v>
      </x:c>
      <x:c r="C8" s="3" t="str">
        <x:v>Staff; PED §2.1.1; MB §3 Staff</x:v>
      </x:c>
      <x:c r="D8" s="3" t="str">
        <x:v>SR-IN-07</x:v>
      </x:c>
      <x:c r="E8" s="3" t="str">
        <x:f>INDEX(Requirements!$C$2:$C$28,MATCH(A8,Requirements!$A$2:$A$28,0))</x:f>
        <x:v>Medium</x:v>
      </x:c>
      <x:c r="F8" s="3" t="str">
        <x:v>AC-FR-007-1; AC-FR-007-2</x:v>
      </x:c>
      <x:c r="G8" s="3" t="str">
        <x:v>Not yet created</x:v>
      </x:c>
      <x:c r="H8" s="3" t="str">
        <x:v>Not yet created</x:v>
      </x:c>
      <x:c r="I8" s="3" t="str">
        <x:v>Not yet created</x:v>
      </x:c>
      <x:c r="J8" s="3" t="str">
        <x:v>No changes recorded</x:v>
      </x:c>
      <x:c r="K8" s="3" t="str">
        <x:v>Not yet created</x:v>
      </x:c>
      <x:c r="L8" s="3" t="str">
        <x:v>Not Started</x:v>
      </x:c>
    </x:row>
    <x:row r="9" ht="27" customHeight="1">
      <x:c r="A9" s="6" t="str">
        <x:v>FR-008</x:v>
      </x:c>
      <x:c r="B9" s="6" t="str">
        <x:v>Full request details</x:v>
      </x:c>
      <x:c r="C9" s="6" t="str">
        <x:v>Staff; PED §2.1.1; MB §3 Staff</x:v>
      </x:c>
      <x:c r="D9" s="6" t="str">
        <x:v>SR-IN-08</x:v>
      </x:c>
      <x:c r="E9" s="6" t="str">
        <x:f>INDEX(Requirements!$C$2:$C$28,MATCH(A9,Requirements!$A$2:$A$28,0))</x:f>
        <x:v>High</x:v>
      </x:c>
      <x:c r="F9" s="6" t="str">
        <x:v>AC-FR-008-1; AC-FR-008-2</x:v>
      </x:c>
      <x:c r="G9" s="6" t="str">
        <x:v>Not yet created</x:v>
      </x:c>
      <x:c r="H9" s="6" t="str">
        <x:v>Not yet created</x:v>
      </x:c>
      <x:c r="I9" s="6" t="str">
        <x:v>Not yet created</x:v>
      </x:c>
      <x:c r="J9" s="6" t="str">
        <x:v>No changes recorded</x:v>
      </x:c>
      <x:c r="K9" s="6" t="str">
        <x:v>Not yet created</x:v>
      </x:c>
      <x:c r="L9" s="6" t="str">
        <x:v>Not Started</x:v>
      </x:c>
    </x:row>
    <x:row r="10" ht="27" customHeight="1">
      <x:c r="A10" s="3" t="str">
        <x:v>FR-009</x:v>
      </x:c>
      <x:c r="B10" s="3" t="str">
        <x:v>Assign or accept ownership</x:v>
      </x:c>
      <x:c r="C10" s="3" t="str">
        <x:v>Staff; PED §2.1.1; MB §3 Staff</x:v>
      </x:c>
      <x:c r="D10" s="3" t="str">
        <x:v>SR-IN-09</x:v>
      </x:c>
      <x:c r="E10" s="3" t="str">
        <x:f>INDEX(Requirements!$C$2:$C$28,MATCH(A10,Requirements!$A$2:$A$28,0))</x:f>
        <x:v>High</x:v>
      </x:c>
      <x:c r="F10" s="3" t="str">
        <x:v>AC-FR-009-1; AC-FR-009-2</x:v>
      </x:c>
      <x:c r="G10" s="3" t="str">
        <x:v>Not yet created</x:v>
      </x:c>
      <x:c r="H10" s="3" t="str">
        <x:v>Not yet created</x:v>
      </x:c>
      <x:c r="I10" s="3" t="str">
        <x:v>Not yet created</x:v>
      </x:c>
      <x:c r="J10" s="3" t="str">
        <x:v>No changes recorded</x:v>
      </x:c>
      <x:c r="K10" s="3" t="str">
        <x:v>Not yet created</x:v>
      </x:c>
      <x:c r="L10" s="3" t="str">
        <x:v>Not Started</x:v>
      </x:c>
    </x:row>
    <x:row r="11" ht="27" customHeight="1">
      <x:c r="A11" s="6" t="str">
        <x:v>FR-010</x:v>
      </x:c>
      <x:c r="B11" s="6" t="str">
        <x:v>Controlled status transitions</x:v>
      </x:c>
      <x:c r="C11" s="6" t="str">
        <x:v>Staff; PED §2.1.1; MB §3 Staff</x:v>
      </x:c>
      <x:c r="D11" s="6" t="str">
        <x:v>SR-IN-10</x:v>
      </x:c>
      <x:c r="E11" s="6" t="str">
        <x:f>INDEX(Requirements!$C$2:$C$28,MATCH(A11,Requirements!$A$2:$A$28,0))</x:f>
        <x:v>High</x:v>
      </x:c>
      <x:c r="F11" s="6" t="str">
        <x:v>AC-FR-010-1; AC-FR-010-2</x:v>
      </x:c>
      <x:c r="G11" s="6" t="str">
        <x:v>Not yet created</x:v>
      </x:c>
      <x:c r="H11" s="6" t="str">
        <x:v>Not yet created</x:v>
      </x:c>
      <x:c r="I11" s="6" t="str">
        <x:v>Not yet created</x:v>
      </x:c>
      <x:c r="J11" s="6" t="str">
        <x:v>No changes recorded</x:v>
      </x:c>
      <x:c r="K11" s="6" t="str">
        <x:v>Not yet created</x:v>
      </x:c>
      <x:c r="L11" s="6" t="str">
        <x:v>Not Started</x:v>
      </x:c>
    </x:row>
    <x:row r="12" ht="27" customHeight="1">
      <x:c r="A12" s="3" t="str">
        <x:v>FR-011</x:v>
      </x:c>
      <x:c r="B12" s="3" t="str">
        <x:v>Record actions and notes</x:v>
      </x:c>
      <x:c r="C12" s="3" t="str">
        <x:v>Staff; PED §2.1.1; MB §3 Staff</x:v>
      </x:c>
      <x:c r="D12" s="3" t="str">
        <x:v>SR-IN-11</x:v>
      </x:c>
      <x:c r="E12" s="3" t="str">
        <x:f>INDEX(Requirements!$C$2:$C$28,MATCH(A12,Requirements!$A$2:$A$28,0))</x:f>
        <x:v>High</x:v>
      </x:c>
      <x:c r="F12" s="3" t="str">
        <x:v>AC-FR-011-1; AC-FR-011-2</x:v>
      </x:c>
      <x:c r="G12" s="3" t="str">
        <x:v>Not yet created</x:v>
      </x:c>
      <x:c r="H12" s="3" t="str">
        <x:v>Not yet created</x:v>
      </x:c>
      <x:c r="I12" s="3" t="str">
        <x:v>Not yet created</x:v>
      </x:c>
      <x:c r="J12" s="3" t="str">
        <x:v>No changes recorded</x:v>
      </x:c>
      <x:c r="K12" s="3" t="str">
        <x:v>Not yet created</x:v>
      </x:c>
      <x:c r="L12" s="3" t="str">
        <x:v>Not Started</x:v>
      </x:c>
    </x:row>
    <x:row r="13" ht="27" customHeight="1">
      <x:c r="A13" s="6" t="str">
        <x:v>FR-012</x:v>
      </x:c>
      <x:c r="B13" s="6" t="str">
        <x:v>Resolve and close requests</x:v>
      </x:c>
      <x:c r="C13" s="6" t="str">
        <x:v>Staff; PED §2.1.1; MB §3 Staff</x:v>
      </x:c>
      <x:c r="D13" s="6" t="str">
        <x:v>SR-IN-12</x:v>
      </x:c>
      <x:c r="E13" s="6" t="str">
        <x:f>INDEX(Requirements!$C$2:$C$28,MATCH(A13,Requirements!$A$2:$A$28,0))</x:f>
        <x:v>High</x:v>
      </x:c>
      <x:c r="F13" s="6" t="str">
        <x:v>AC-FR-012-1; AC-FR-012-2</x:v>
      </x:c>
      <x:c r="G13" s="6" t="str">
        <x:v>Not yet created</x:v>
      </x:c>
      <x:c r="H13" s="6" t="str">
        <x:v>Not yet created</x:v>
      </x:c>
      <x:c r="I13" s="6" t="str">
        <x:v>Not yet created</x:v>
      </x:c>
      <x:c r="J13" s="6" t="str">
        <x:v>No changes recorded</x:v>
      </x:c>
      <x:c r="K13" s="6" t="str">
        <x:v>Not yet created</x:v>
      </x:c>
      <x:c r="L13" s="6" t="str">
        <x:v>Not Started</x:v>
      </x:c>
    </x:row>
    <x:row r="14" ht="27" customHeight="1">
      <x:c r="A14" s="3" t="str">
        <x:v>FR-013</x:v>
      </x:c>
      <x:c r="B14" s="3" t="str">
        <x:v>Service activity summary</x:v>
      </x:c>
      <x:c r="C14" s="3" t="str">
        <x:v>Management; PED §1.2, §2.1.1; MB §3 Management</x:v>
      </x:c>
      <x:c r="D14" s="3" t="str">
        <x:v>SR-IN-13</x:v>
      </x:c>
      <x:c r="E14" s="3" t="str">
        <x:f>INDEX(Requirements!$C$2:$C$28,MATCH(A14,Requirements!$A$2:$A$28,0))</x:f>
        <x:v>Medium</x:v>
      </x:c>
      <x:c r="F14" s="3" t="str">
        <x:v>AC-FR-013-1; AC-FR-013-2</x:v>
      </x:c>
      <x:c r="G14" s="3" t="str">
        <x:v>Not yet created</x:v>
      </x:c>
      <x:c r="H14" s="3" t="str">
        <x:v>Not yet created</x:v>
      </x:c>
      <x:c r="I14" s="3" t="str">
        <x:v>Not yet created</x:v>
      </x:c>
      <x:c r="J14" s="3" t="str">
        <x:v>No changes recorded</x:v>
      </x:c>
      <x:c r="K14" s="3" t="str">
        <x:v>Not yet created</x:v>
      </x:c>
      <x:c r="L14" s="3" t="str">
        <x:v>Not Started</x:v>
      </x:c>
    </x:row>
    <x:row r="15" ht="27" customHeight="1">
      <x:c r="A15" s="6" t="str">
        <x:v>FR-014</x:v>
      </x:c>
      <x:c r="B15" s="6" t="str">
        <x:v>Management category/status analysis</x:v>
      </x:c>
      <x:c r="C15" s="6" t="str">
        <x:v>Management; PED §2.1.1; MB §3 Management</x:v>
      </x:c>
      <x:c r="D15" s="6" t="str">
        <x:v>SR-IN-14</x:v>
      </x:c>
      <x:c r="E15" s="6" t="str">
        <x:f>INDEX(Requirements!$C$2:$C$28,MATCH(A15,Requirements!$A$2:$A$28,0))</x:f>
        <x:v>Medium</x:v>
      </x:c>
      <x:c r="F15" s="6" t="str">
        <x:v>AC-FR-014-1; AC-FR-014-2</x:v>
      </x:c>
      <x:c r="G15" s="6" t="str">
        <x:v>Not yet created</x:v>
      </x:c>
      <x:c r="H15" s="6" t="str">
        <x:v>Not yet created</x:v>
      </x:c>
      <x:c r="I15" s="6" t="str">
        <x:v>Not yet created</x:v>
      </x:c>
      <x:c r="J15" s="6" t="str">
        <x:v>No changes recorded</x:v>
      </x:c>
      <x:c r="K15" s="6" t="str">
        <x:v>Not yet created</x:v>
      </x:c>
      <x:c r="L15" s="6" t="str">
        <x:v>Not Started</x:v>
      </x:c>
    </x:row>
    <x:row r="16" ht="42" customHeight="1">
      <x:c r="A16" s="3" t="str">
        <x:v>FR-015</x:v>
      </x:c>
      <x:c r="B16" s="3" t="str">
        <x:v>Accountability and performance history</x:v>
      </x:c>
      <x:c r="C16" s="3" t="str">
        <x:v>Management; Staff; PED §1.2, §2.1.1; MB §3 Management</x:v>
      </x:c>
      <x:c r="D16" s="3" t="str">
        <x:v>SR-IN-15; SR-IN-11</x:v>
      </x:c>
      <x:c r="E16" s="3" t="str">
        <x:f>INDEX(Requirements!$C$2:$C$28,MATCH(A16,Requirements!$A$2:$A$28,0))</x:f>
        <x:v>High</x:v>
      </x:c>
      <x:c r="F16" s="3" t="str">
        <x:v>AC-FR-015-1; AC-FR-015-2</x:v>
      </x:c>
      <x:c r="G16" s="3" t="str">
        <x:v>Not yet created</x:v>
      </x:c>
      <x:c r="H16" s="3" t="str">
        <x:v>Not yet created</x:v>
      </x:c>
      <x:c r="I16" s="3" t="str">
        <x:v>Not yet created</x:v>
      </x:c>
      <x:c r="J16" s="3" t="str">
        <x:v>No changes recorded</x:v>
      </x:c>
      <x:c r="K16" s="3" t="str">
        <x:v>Not yet created</x:v>
      </x:c>
      <x:c r="L16" s="3" t="str">
        <x:v>Not Started</x:v>
      </x:c>
    </x:row>
    <x:row r="17" ht="42" customHeight="1">
      <x:c r="A17" s="6" t="str">
        <x:v>FR-016</x:v>
      </x:c>
      <x:c r="B17" s="6" t="str">
        <x:v>Authenticated role access</x:v>
      </x:c>
      <x:c r="C17" s="6" t="str">
        <x:v>Requester; Staff; Management; PED §2.2.3; §5.2 concern 1; MB §16</x:v>
      </x:c>
      <x:c r="D17" s="6" t="str">
        <x:v>Cross-cutting: SR-IN-03, 06, 08, 12-15</x:v>
      </x:c>
      <x:c r="E17" s="6" t="str">
        <x:f>INDEX(Requirements!$C$2:$C$28,MATCH(A17,Requirements!$A$2:$A$28,0))</x:f>
        <x:v>High</x:v>
      </x:c>
      <x:c r="F17" s="6" t="str">
        <x:v>AC-FR-016-1; AC-FR-016-2</x:v>
      </x:c>
      <x:c r="G17" s="6" t="str">
        <x:v>Not yet created</x:v>
      </x:c>
      <x:c r="H17" s="6" t="str">
        <x:v>Not yet created</x:v>
      </x:c>
      <x:c r="I17" s="6" t="str">
        <x:v>Not yet created</x:v>
      </x:c>
      <x:c r="J17" s="6" t="str">
        <x:v>No changes recorded</x:v>
      </x:c>
      <x:c r="K17" s="6" t="str">
        <x:v>Not yet created</x:v>
      </x:c>
      <x:c r="L17" s="6" t="str">
        <x:v>Not Started</x:v>
      </x:c>
    </x:row>
    <x:row r="18" ht="27" customHeight="1">
      <x:c r="A18" s="3" t="str">
        <x:v>FR-017</x:v>
      </x:c>
      <x:c r="B18" s="3" t="str">
        <x:v>Request priority</x:v>
      </x:c>
      <x:c r="C18" s="3" t="str">
        <x:v>Staff; PED §2.1.1; MB §2 prioritisation need</x:v>
      </x:c>
      <x:c r="D18" s="3" t="str">
        <x:v>SR-IN-07; SR-IN-15</x:v>
      </x:c>
      <x:c r="E18" s="3" t="str">
        <x:f>INDEX(Requirements!$C$2:$C$28,MATCH(A18,Requirements!$A$2:$A$28,0))</x:f>
        <x:v>Medium</x:v>
      </x:c>
      <x:c r="F18" s="3" t="str">
        <x:v>AC-FR-017-1; AC-FR-017-2</x:v>
      </x:c>
      <x:c r="G18" s="3" t="str">
        <x:v>Not yet created</x:v>
      </x:c>
      <x:c r="H18" s="3" t="str">
        <x:v>Not yet created</x:v>
      </x:c>
      <x:c r="I18" s="3" t="str">
        <x:v>Not yet created</x:v>
      </x:c>
      <x:c r="J18" s="3" t="str">
        <x:v>No changes recorded</x:v>
      </x:c>
      <x:c r="K18" s="3" t="str">
        <x:v>Not yet created</x:v>
      </x:c>
      <x:c r="L18" s="3" t="str">
        <x:v>Not Started</x:v>
      </x:c>
    </x:row>
    <x:row r="19" ht="27" customHeight="1">
      <x:c r="A19" s="6" t="str">
        <x:v>FR-018</x:v>
      </x:c>
      <x:c r="B19" s="6" t="str">
        <x:v>Due dates and overdue identification</x:v>
      </x:c>
      <x:c r="C19" s="6" t="str">
        <x:v>Staff; Management; PED §2.1.1; MB §3 Management</x:v>
      </x:c>
      <x:c r="D19" s="6" t="str">
        <x:v>SR-IN-13; SR-IN-15</x:v>
      </x:c>
      <x:c r="E19" s="6" t="str">
        <x:f>INDEX(Requirements!$C$2:$C$28,MATCH(A19,Requirements!$A$2:$A$28,0))</x:f>
        <x:v>Medium</x:v>
      </x:c>
      <x:c r="F19" s="6" t="str">
        <x:v>AC-FR-018-1; AC-FR-018-2</x:v>
      </x:c>
      <x:c r="G19" s="6" t="str">
        <x:v>Not yet created</x:v>
      </x:c>
      <x:c r="H19" s="6" t="str">
        <x:v>Not yet created</x:v>
      </x:c>
      <x:c r="I19" s="6" t="str">
        <x:v>Not yet created</x:v>
      </x:c>
      <x:c r="J19" s="6" t="str">
        <x:v>No changes recorded</x:v>
      </x:c>
      <x:c r="K19" s="6" t="str">
        <x:v>Not yet created</x:v>
      </x:c>
      <x:c r="L19" s="6" t="str">
        <x:v>Not Started</x:v>
      </x:c>
    </x:row>
    <x:row r="20" ht="42" customHeight="1">
      <x:c r="A20" s="3" t="str">
        <x:v>NFR-001</x:v>
      </x:c>
      <x:c r="B20" s="3" t="str">
        <x:v>Access-control isolation</x:v>
      </x:c>
      <x:c r="C20" s="3" t="str">
        <x:v>Requester; Staff; Management; PED §2.2.2 Security; R-004; MB §16</x:v>
      </x:c>
      <x:c r="D20" s="3" t="str">
        <x:v>Cross-cutting: all protected scope</x:v>
      </x:c>
      <x:c r="E20" s="3" t="str">
        <x:f>INDEX(Requirements!$C$2:$C$28,MATCH(A20,Requirements!$A$2:$A$28,0))</x:f>
        <x:v>High</x:v>
      </x:c>
      <x:c r="F20" s="3" t="str">
        <x:v>AC-NFR-001-1; AC-NFR-001-2</x:v>
      </x:c>
      <x:c r="G20" s="3" t="str">
        <x:v>Not yet created</x:v>
      </x:c>
      <x:c r="H20" s="3" t="str">
        <x:v>Not yet created</x:v>
      </x:c>
      <x:c r="I20" s="3" t="str">
        <x:v>Not yet created</x:v>
      </x:c>
      <x:c r="J20" s="3" t="str">
        <x:v>No changes recorded</x:v>
      </x:c>
      <x:c r="K20" s="3" t="str">
        <x:v>Not yet created</x:v>
      </x:c>
      <x:c r="L20" s="3" t="str">
        <x:v>Not Started</x:v>
      </x:c>
    </x:row>
    <x:row r="21" ht="42" customHeight="1">
      <x:c r="A21" s="6" t="str">
        <x:v>NFR-002</x:v>
      </x:c>
      <x:c r="B21" s="6" t="str">
        <x:v>Pilot response time</x:v>
      </x:c>
      <x:c r="C21" s="6" t="str">
        <x:v>Requester; Staff; Management; PED A-03, §2.2.2 Quality/Cost; §5.2 concern 3; MB §4</x:v>
      </x:c>
      <x:c r="D21" s="6" t="str">
        <x:v>SR-IN-01; SR-IN-03; SR-IN-07; SR-IN-13</x:v>
      </x:c>
      <x:c r="E21" s="6" t="str">
        <x:f>INDEX(Requirements!$C$2:$C$28,MATCH(A21,Requirements!$A$2:$A$28,0))</x:f>
        <x:v>Medium</x:v>
      </x:c>
      <x:c r="F21" s="6" t="str">
        <x:v>AC-NFR-002-1; AC-NFR-002-2</x:v>
      </x:c>
      <x:c r="G21" s="6" t="str">
        <x:v>Not yet created</x:v>
      </x:c>
      <x:c r="H21" s="6" t="str">
        <x:v>Not yet created</x:v>
      </x:c>
      <x:c r="I21" s="6" t="str">
        <x:v>Not yet created</x:v>
      </x:c>
      <x:c r="J21" s="6" t="str">
        <x:v>No changes recorded</x:v>
      </x:c>
      <x:c r="K21" s="6" t="str">
        <x:v>Not yet created</x:v>
      </x:c>
      <x:c r="L21" s="6" t="str">
        <x:v>Not Started</x:v>
      </x:c>
    </x:row>
    <x:row r="22" ht="42" customHeight="1">
      <x:c r="A22" s="3" t="str">
        <x:v>NFR-003</x:v>
      </x:c>
      <x:c r="B22" s="3" t="str">
        <x:v>Data integrity on save</x:v>
      </x:c>
      <x:c r="C22" s="3" t="str">
        <x:v>Requester; Staff; Management; PED §1.1; §7.1.2; MB §15</x:v>
      </x:c>
      <x:c r="D22" s="3" t="str">
        <x:v>SR-IN-01; SR-IN-09-12; SR-IN-15</x:v>
      </x:c>
      <x:c r="E22" s="3" t="str">
        <x:f>INDEX(Requirements!$C$2:$C$28,MATCH(A22,Requirements!$A$2:$A$28,0))</x:f>
        <x:v>High</x:v>
      </x:c>
      <x:c r="F22" s="3" t="str">
        <x:v>AC-NFR-003-1; AC-NFR-003-2</x:v>
      </x:c>
      <x:c r="G22" s="3" t="str">
        <x:v>Not yet created</x:v>
      </x:c>
      <x:c r="H22" s="3" t="str">
        <x:v>Not yet created</x:v>
      </x:c>
      <x:c r="I22" s="3" t="str">
        <x:v>Not yet created</x:v>
      </x:c>
      <x:c r="J22" s="3" t="str">
        <x:v>No changes recorded</x:v>
      </x:c>
      <x:c r="K22" s="3" t="str">
        <x:v>Not yet created</x:v>
      </x:c>
      <x:c r="L22" s="3" t="str">
        <x:v>Not Started</x:v>
      </x:c>
    </x:row>
    <x:row r="23" ht="27" customHeight="1">
      <x:c r="A23" s="6" t="str">
        <x:v>NFR-004</x:v>
      </x:c>
      <x:c r="B23" s="6" t="str">
        <x:v>Requester usability</x:v>
      </x:c>
      <x:c r="C23" s="6" t="str">
        <x:v>Requester; PED §1.2, A-01; MB §5</x:v>
      </x:c>
      <x:c r="D23" s="6" t="str">
        <x:v>SR-IN-01; SR-IN-03; SR-IN-04</x:v>
      </x:c>
      <x:c r="E23" s="6" t="str">
        <x:f>INDEX(Requirements!$C$2:$C$28,MATCH(A23,Requirements!$A$2:$A$28,0))</x:f>
        <x:v>Medium</x:v>
      </x:c>
      <x:c r="F23" s="6" t="str">
        <x:v>AC-NFR-004-1; AC-NFR-004-2</x:v>
      </x:c>
      <x:c r="G23" s="6" t="str">
        <x:v>Not yet created</x:v>
      </x:c>
      <x:c r="H23" s="6" t="str">
        <x:v>Not yet created</x:v>
      </x:c>
      <x:c r="I23" s="6" t="str">
        <x:v>Not yet created</x:v>
      </x:c>
      <x:c r="J23" s="6" t="str">
        <x:v>No changes recorded</x:v>
      </x:c>
      <x:c r="K23" s="6" t="str">
        <x:v>Not yet created</x:v>
      </x:c>
      <x:c r="L23" s="6" t="str">
        <x:v>Not Started</x:v>
      </x:c>
    </x:row>
    <x:row r="24" ht="42" customHeight="1">
      <x:c r="A24" s="3" t="str">
        <x:v>NFR-005</x:v>
      </x:c>
      <x:c r="B24" s="3" t="str">
        <x:v>Responsive and keyboard-usable interface</x:v>
      </x:c>
      <x:c r="C24" s="3" t="str">
        <x:v>Requester; Staff; Management; PED §2.1.2; A-01; MB §5, §15</x:v>
      </x:c>
      <x:c r="D24" s="3" t="str">
        <x:v>Cross-cutting; responsive web scope</x:v>
      </x:c>
      <x:c r="E24" s="3" t="str">
        <x:f>INDEX(Requirements!$C$2:$C$28,MATCH(A24,Requirements!$A$2:$A$28,0))</x:f>
        <x:v>Medium</x:v>
      </x:c>
      <x:c r="F24" s="3" t="str">
        <x:v>AC-NFR-005-1; AC-NFR-005-2</x:v>
      </x:c>
      <x:c r="G24" s="3" t="str">
        <x:v>Not yet created</x:v>
      </x:c>
      <x:c r="H24" s="3" t="str">
        <x:v>Not yet created</x:v>
      </x:c>
      <x:c r="I24" s="3" t="str">
        <x:v>Not yet created</x:v>
      </x:c>
      <x:c r="J24" s="3" t="str">
        <x:v>No changes recorded</x:v>
      </x:c>
      <x:c r="K24" s="3" t="str">
        <x:v>Not yet created</x:v>
      </x:c>
      <x:c r="L24" s="3" t="str">
        <x:v>Not Started</x:v>
      </x:c>
    </x:row>
    <x:row r="25" ht="42" customHeight="1">
      <x:c r="A25" s="6" t="str">
        <x:v>NFR-006</x:v>
      </x:c>
      <x:c r="B25" s="6" t="str">
        <x:v>Protected data in transit</x:v>
      </x:c>
      <x:c r="C25" s="6" t="str">
        <x:v>Requester; Staff; Management; PED §2.2.2 Security; §5.2 concern 6; MB §16</x:v>
      </x:c>
      <x:c r="D25" s="6" t="str">
        <x:v>Cross-cutting: protected product data</x:v>
      </x:c>
      <x:c r="E25" s="6" t="str">
        <x:f>INDEX(Requirements!$C$2:$C$28,MATCH(A25,Requirements!$A$2:$A$28,0))</x:f>
        <x:v>High</x:v>
      </x:c>
      <x:c r="F25" s="6" t="str">
        <x:v>AC-NFR-006-1; AC-NFR-006-2</x:v>
      </x:c>
      <x:c r="G25" s="6" t="str">
        <x:v>Not yet created</x:v>
      </x:c>
      <x:c r="H25" s="6" t="str">
        <x:v>Not yet created</x:v>
      </x:c>
      <x:c r="I25" s="6" t="str">
        <x:v>Not yet created</x:v>
      </x:c>
      <x:c r="J25" s="6" t="str">
        <x:v>No changes recorded</x:v>
      </x:c>
      <x:c r="K25" s="6" t="str">
        <x:v>Not yet created</x:v>
      </x:c>
      <x:c r="L25" s="6" t="str">
        <x:v>Not Started</x:v>
      </x:c>
    </x:row>
    <x:row r="26" ht="42" customHeight="1">
      <x:c r="A26" s="3" t="str">
        <x:v>NFR-007</x:v>
      </x:c>
      <x:c r="B26" s="3" t="str">
        <x:v>Recoverable request records</x:v>
      </x:c>
      <x:c r="C26" s="3" t="str">
        <x:v>Project team; Management; PED §5.2 concern 7; §7.1; MB §17</x:v>
      </x:c>
      <x:c r="D26" s="3" t="str">
        <x:v>Cross-cutting: retained request/history data</x:v>
      </x:c>
      <x:c r="E26" s="3" t="str">
        <x:f>INDEX(Requirements!$C$2:$C$28,MATCH(A26,Requirements!$A$2:$A$28,0))</x:f>
        <x:v>Medium</x:v>
      </x:c>
      <x:c r="F26" s="3" t="str">
        <x:v>AC-NFR-007-1; AC-NFR-007-2</x:v>
      </x:c>
      <x:c r="G26" s="3" t="str">
        <x:v>Not yet created</x:v>
      </x:c>
      <x:c r="H26" s="3" t="str">
        <x:v>Not yet created</x:v>
      </x:c>
      <x:c r="I26" s="3" t="str">
        <x:v>Not yet created</x:v>
      </x:c>
      <x:c r="J26" s="3" t="str">
        <x:v>No changes recorded</x:v>
      </x:c>
      <x:c r="K26" s="3" t="str">
        <x:v>Not yet created</x:v>
      </x:c>
      <x:c r="L26" s="3" t="str">
        <x:v>Not Started</x:v>
      </x:c>
    </x:row>
    <x:row r="27" ht="42" customHeight="1">
      <x:c r="A27" s="6" t="str">
        <x:v>NFR-008</x:v>
      </x:c>
      <x:c r="B27" s="6" t="str">
        <x:v>Privacy of logs and errors</x:v>
      </x:c>
      <x:c r="C27" s="6" t="str">
        <x:v>Requester; Staff; Management; PED §5.2 concern 6; R-004, R-005; MB §16</x:v>
      </x:c>
      <x:c r="D27" s="6" t="str">
        <x:v>Cross-cutting: restricted information</x:v>
      </x:c>
      <x:c r="E27" s="6" t="str">
        <x:f>INDEX(Requirements!$C$2:$C$28,MATCH(A27,Requirements!$A$2:$A$28,0))</x:f>
        <x:v>High</x:v>
      </x:c>
      <x:c r="F27" s="6" t="str">
        <x:v>AC-NFR-008-1; AC-NFR-008-2</x:v>
      </x:c>
      <x:c r="G27" s="6" t="str">
        <x:v>Not yet created</x:v>
      </x:c>
      <x:c r="H27" s="6" t="str">
        <x:v>Not yet created</x:v>
      </x:c>
      <x:c r="I27" s="6" t="str">
        <x:v>Not yet created</x:v>
      </x:c>
      <x:c r="J27" s="6" t="str">
        <x:v>No changes recorded</x:v>
      </x:c>
      <x:c r="K27" s="6" t="str">
        <x:v>Not yet created</x:v>
      </x:c>
      <x:c r="L27" s="6" t="str">
        <x:v>Not Started</x:v>
      </x:c>
    </x:row>
    <x:row r="28" ht="27" customHeight="1">
      <x:c r="A28" s="3" t="str">
        <x:v>NFR-009</x:v>
      </x:c>
      <x:c r="B28" s="3" t="str">
        <x:v>Testability of core business rules</x:v>
      </x:c>
      <x:c r="C28" s="3" t="str">
        <x:v>Project team; PED §5.2 concern 4; MB §15; M1 §4</x:v>
      </x:c>
      <x:c r="D28" s="3" t="str">
        <x:v>Cross-cutting: core request lifecycle</x:v>
      </x:c>
      <x:c r="E28" s="3" t="str">
        <x:f>INDEX(Requirements!$C$2:$C$28,MATCH(A28,Requirements!$A$2:$A$28,0))</x:f>
        <x:v>High</x:v>
      </x:c>
      <x:c r="F28" s="3" t="str">
        <x:v>AC-NFR-009-1; AC-NFR-009-2</x:v>
      </x:c>
      <x:c r="G28" s="3" t="str">
        <x:v>Not yet created</x:v>
      </x:c>
      <x:c r="H28" s="3" t="str">
        <x:v>Not yet created</x:v>
      </x:c>
      <x:c r="I28" s="3" t="str">
        <x:v>Not yet created</x:v>
      </x:c>
      <x:c r="J28" s="3" t="str">
        <x:v>No changes recorded</x:v>
      </x:c>
      <x:c r="K28" s="3" t="str">
        <x:v>Not yet created</x:v>
      </x:c>
      <x:c r="L28" s="3" t="str">
        <x:v>Not Started</x:v>
      </x:c>
    </x:row>
    <x:row r="31" ht="45" customHeight="1">
      <x:c r="A31" s="8" t="str">
        <x:v>Source key</x:v>
      </x:c>
      <x:c r="B31" s="8" t="str">
        <x:v>PED = supplied PED1, sections 1.2 and 2.1–2.2. MB = SEN381 CivicConnect Master Project Brief, sections 3 and 11.</x:v>
      </x:c>
    </x:row>
    <x:row r="32" ht="45" customHeight="1">
      <x:c r="A32" s="8" t="str">
        <x:v>RTM format</x:v>
      </x:c>
      <x:c r="B32" s="8" t="str">
        <x:v>Initial traceability follows Milestone 1 section 3 and Week 1 Day 3 Section 2 class notes, section 3.1. Later evidence fields are retained for subsequent milestones.</x:v>
      </x:c>
    </x:row>
    <x:row r="33" ht="45" customHeight="1">
      <x:c r="A33" s="8" t="str">
        <x:v>Status</x:v>
      </x:c>
      <x:c r="B33" s="8" t="str">
        <x:v>Implementation has not started. Approval of the requirements is separate. Mark Verified only after the acceptance checks pass and test evidence is linked.</x:v>
      </x:c>
    </x:row>
    <x:row r="34" ht="45" customHeight="1">
      <x:c r="A34" s="8" t="str">
        <x:v>Maintenance</x:v>
      </x:c>
      <x:c r="B34" s="8" t="str">
        <x:v>Keep requirement IDs stable. Update affected acceptance criteria and trace links when a change is approved. Add actual evidence links as work progresses.</x:v>
      </x:c>
    </x:row>
  </x:sheetData>
  <x:mergeCells>
    <x:mergeCell ref="B31:F31"/>
    <x:mergeCell ref="B32:F32"/>
    <x:mergeCell ref="B33:F33"/>
    <x:mergeCell ref="B34:F34"/>
  </x:mergeCells>
  <x:dataValidations count="1">
    <x:dataValidation type="list" sqref="L2:L28">
      <x:formula1>"Not Started,In Progress,Implemented,Verification Failed,Verified"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1.670000076293945" hidden="0" customWidth="1"/>
    <x:col min="2" max="2" width="48.88999938964844" hidden="0" customWidth="1"/>
    <x:col min="3" max="3" width="10" hidden="0" customWidth="1"/>
    <x:col min="4" max="4" width="52.220001220703125" hidden="0" customWidth="1"/>
    <x:col min="5" max="5" width="52.220001220703125" hidden="0" customWidth="1"/>
  </x:cols>
  <x:sheetData>
    <x:row r="1" ht="34" customHeight="1">
      <x:c r="A1" s="5" t="str">
        <x:v>ID</x:v>
      </x:c>
      <x:c r="B1" s="5" t="str">
        <x:v>Requirement</x:v>
      </x:c>
      <x:c r="C1" s="5" t="str">
        <x:v>Priority</x:v>
      </x:c>
      <x:c r="D1" s="5" t="str">
        <x:v>Acceptance criterion 1</x:v>
      </x:c>
      <x:c r="E1" s="5" t="str">
        <x:v>Acceptance criterion 2</x:v>
      </x:c>
    </x:row>
    <x:row r="2" ht="42" customHeight="1">
      <x:c r="A2" s="3" t="str">
        <x:v>FR-001</x:v>
      </x:c>
      <x:c r="B2" s="3" t="str">
        <x:v>Allow requesters to submit a request with a category, description and location.</x:v>
      </x:c>
      <x:c r="C2" s="3" t="str">
        <x:v>High</x:v>
      </x:c>
      <x:c r="D2" s="3" t="str">
        <x:v>AC-FR-001-1: A valid submission saves one request with a unique reference, date and New status.</x:v>
      </x:c>
      <x:c r="E2" s="3" t="str">
        <x:v>AC-FR-001-2: Missing required fields or an invalid category are rejected without saving a request.</x:v>
      </x:c>
    </x:row>
    <x:row r="3" ht="42" customHeight="1">
      <x:c r="A3" s="6" t="str">
        <x:v>FR-002</x:v>
      </x:c>
      <x:c r="B3" s="6" t="str">
        <x:v>Use a predefined list of request categories.</x:v>
      </x:c>
      <x:c r="C3" s="6" t="str">
        <x:v>High</x:v>
      </x:c>
      <x:c r="D3" s="6" t="str">
        <x:v>AC-FR-002-1: A requester can select and save a category from the agreed list.</x:v>
      </x:c>
      <x:c r="E3" s="6" t="str">
        <x:v>AC-FR-002-2: An unlisted category is rejected; existing requests retain their saved category.</x:v>
      </x:c>
    </x:row>
    <x:row r="4" ht="42" customHeight="1">
      <x:c r="A4" s="3" t="str">
        <x:v>FR-003</x:v>
      </x:c>
      <x:c r="B4" s="3" t="str">
        <x:v>Allow requesters to view the current status of their own requests.</x:v>
      </x:c>
      <x:c r="C4" s="3" t="str">
        <x:v>High</x:v>
      </x:c>
      <x:c r="D4" s="3" t="str">
        <x:v>AC-FR-003-1: After an authorised update, the requester sees the saved status and update date.</x:v>
      </x:c>
      <x:c r="E4" s="3" t="str">
        <x:v>AC-FR-003-2: Entering another requester’s reference does not reveal its status or details.</x:v>
      </x:c>
    </x:row>
    <x:row r="5" ht="42" customHeight="1">
      <x:c r="A5" s="6" t="str">
        <x:v>FR-004</x:v>
      </x:c>
      <x:c r="B5" s="6" t="str">
        <x:v>Allow requesters to view their previous requests.</x:v>
      </x:c>
      <x:c r="C5" s="6" t="str">
        <x:v>Medium</x:v>
      </x:c>
      <x:c r="D5" s="6" t="str">
        <x:v>AC-FR-004-1: The list shows each own request’s reference, category, date and current status, including completed requests.</x:v>
      </x:c>
      <x:c r="E5" s="6" t="str">
        <x:v>AC-FR-004-2: Other users’ requests are excluded; an empty list displays a clear message.</x:v>
      </x:c>
    </x:row>
    <x:row r="6" ht="42" customHeight="1">
      <x:c r="A6" s="3" t="str">
        <x:v>FR-005</x:v>
      </x:c>
      <x:c r="B6" s="3" t="str">
        <x:v>Provide requester feedback when a request is accepted, rejected, updated or completed.</x:v>
      </x:c>
      <x:c r="C6" s="3" t="str">
        <x:v>Medium</x:v>
      </x:c>
      <x:c r="D6" s="3" t="str">
        <x:v>AC-FR-005-1: Each event produces feedback showing the event, date and current status; rejection and completion include a reason or summary.</x:v>
      </x:c>
      <x:c r="E6" s="3" t="str">
        <x:v>AC-FR-005-2: Feedback remains available later and excludes private staff notes and other users’ information.</x:v>
      </x:c>
    </x:row>
    <x:row r="7" ht="42" customHeight="1">
      <x:c r="A7" s="6" t="str">
        <x:v>FR-006</x:v>
      </x:c>
      <x:c r="B7" s="6" t="str">
        <x:v>Allow staff to view requests permitted by their role and assigned categories.</x:v>
      </x:c>
      <x:c r="C7" s="6" t="str">
        <x:v>High</x:v>
      </x:c>
      <x:c r="D7" s="6" t="str">
        <x:v>AC-FR-006-1: Staff see all and only the requests allowed by their permissions.</x:v>
      </x:c>
      <x:c r="E7" s="6" t="str">
        <x:v>AC-FR-006-2: Direct access to a request outside these permissions is denied.</x:v>
      </x:c>
    </x:row>
    <x:row r="8" ht="42" customHeight="1">
      <x:c r="A8" s="3" t="str">
        <x:v>FR-007</x:v>
      </x:c>
      <x:c r="B8" s="3" t="str">
        <x:v>Allow staff to search requests and filter by status, category, date and priority, and sort by date or priority.</x:v>
      </x:c>
      <x:c r="C8" s="3" t="str">
        <x:v>Medium</x:v>
      </x:c>
      <x:c r="D8" s="3" t="str">
        <x:v>AC-FR-007-1: Searches and combined filters return only matching authorised records, including both date-range boundaries.</x:v>
      </x:c>
      <x:c r="E8" s="3" t="str">
        <x:v>AC-FR-007-2: Sorting gives the expected order; clearing filters restores the list and no matches displays an empty result.</x:v>
      </x:c>
    </x:row>
    <x:row r="9" ht="42" customHeight="1">
      <x:c r="A9" s="6" t="str">
        <x:v>FR-008</x:v>
      </x:c>
      <x:c r="B9" s="6" t="str">
        <x:v>Allow authorised staff to view full request details.</x:v>
      </x:c>
      <x:c r="C9" s="6" t="str">
        <x:v>High</x:v>
      </x:c>
      <x:c r="D9" s="6" t="str">
        <x:v>AC-FR-008-1: Details show the reference, requester, category, description, location, date, status, priority, owner, due date and notes.</x:v>
      </x:c>
      <x:c r="E9" s="6" t="str">
        <x:v>AC-FR-008-2: Unauthorised users cannot open the same details; missing owner or due date is clearly shown.</x:v>
      </x:c>
    </x:row>
    <x:row r="10" ht="42" customHeight="1">
      <x:c r="A10" s="3" t="str">
        <x:v>FR-009</x:v>
      </x:c>
      <x:c r="B10" s="3" t="str">
        <x:v>Allow authorised staff to assign a request or accept responsibility for it.</x:v>
      </x:c>
      <x:c r="C10" s="3" t="str">
        <x:v>High</x:v>
      </x:c>
      <x:c r="D10" s="3" t="str">
        <x:v>AC-FR-009-1: Assignment records one eligible owner, the person making the change and the time.</x:v>
      </x:c>
      <x:c r="E10" s="3" t="str">
        <x:v>AC-FR-009-2: Ineligible owners are rejected; simultaneous attempts to claim a request cannot create two owners.</x:v>
      </x:c>
    </x:row>
    <x:row r="11" ht="42" customHeight="1">
      <x:c r="A11" s="6" t="str">
        <x:v>FR-010</x:v>
      </x:c>
      <x:c r="B11" s="6" t="str">
        <x:v>Allow request status changes only through the agreed lifecycle.</x:v>
      </x:c>
      <x:c r="C11" s="6" t="str">
        <x:v>High</x:v>
      </x:c>
      <x:c r="D11" s="6" t="str">
        <x:v>AC-FR-010-1: Allowed changes save the new status, previous status, actor and time.</x:v>
      </x:c>
      <x:c r="E11" s="6" t="str">
        <x:v>AC-FR-010-2: Invalid transitions and changes by unauthorised users are rejected without changing the request.</x:v>
      </x:c>
    </x:row>
    <x:row r="12" ht="42" customHeight="1">
      <x:c r="A12" s="3" t="str">
        <x:v>FR-011</x:v>
      </x:c>
      <x:c r="B12" s="3" t="str">
        <x:v>Allow staff to record comments, actions and resolution notes against a request.</x:v>
      </x:c>
      <x:c r="C12" s="3" t="str">
        <x:v>High</x:v>
      </x:c>
      <x:c r="D12" s="3" t="str">
        <x:v>AC-FR-011-1: A nonblank entry is saved with its author and time; blank entries are rejected.</x:v>
      </x:c>
      <x:c r="E12" s="3" t="str">
        <x:v>AC-FR-011-2: Requester-visible updates reach the requester; internal notes remain private and corrections preserve earlier entries.</x:v>
      </x:c>
    </x:row>
    <x:row r="13" ht="42" customHeight="1">
      <x:c r="A13" s="6" t="str">
        <x:v>FR-012</x:v>
      </x:c>
      <x:c r="B13" s="6" t="str">
        <x:v>Allow authorised staff to resolve and close requests.</x:v>
      </x:c>
      <x:c r="C13" s="6" t="str">
        <x:v>High</x:v>
      </x:c>
      <x:c r="D13" s="6" t="str">
        <x:v>AC-FR-012-1: Resolving an In Progress request requires a resolution summary and records the actor and time.</x:v>
      </x:c>
      <x:c r="E13" s="6" t="str">
        <x:v>AC-FR-012-2: Only an authorised user can close a Resolved request; other closure attempts are rejected.</x:v>
      </x:c>
    </x:row>
    <x:row r="14" ht="42" customHeight="1">
      <x:c r="A14" s="3" t="str">
        <x:v>FR-013</x:v>
      </x:c>
      <x:c r="B14" s="3" t="str">
        <x:v>Allow management to view counts of open, overdue, resolved and closed requests.</x:v>
      </x:c>
      <x:c r="C14" s="3" t="str">
        <x:v>Medium</x:v>
      </x:c>
      <x:c r="D14" s="3" t="str">
        <x:v>AC-FR-013-1: Counts match a known dataset using the stated lifecycle and overdue rules.</x:v>
      </x:c>
      <x:c r="E14" s="3" t="str">
        <x:v>AC-FR-013-2: Refreshing shows saved changes, including zero counts; requesters cannot access organisation-wide totals.</x:v>
      </x:c>
    </x:row>
    <x:row r="15" ht="42" customHeight="1">
      <x:c r="A15" s="6" t="str">
        <x:v>FR-014</x:v>
      </x:c>
      <x:c r="B15" s="6" t="str">
        <x:v>Allow management to view requests and counts by category and status.</x:v>
      </x:c>
      <x:c r="C15" s="6" t="str">
        <x:v>Medium</x:v>
      </x:c>
      <x:c r="D15" s="6" t="str">
        <x:v>AC-FR-014-1: Category and status selections show only matching requests and correct counts.</x:v>
      </x:c>
      <x:c r="E15" s="6" t="str">
        <x:v>AC-FR-014-2: Clearing selections restores the permitted overview; categories with no matches show zero.</x:v>
      </x:c>
    </x:row>
    <x:row r="16" ht="42" customHeight="1">
      <x:c r="A16" s="3" t="str">
        <x:v>FR-015</x:v>
      </x:c>
      <x:c r="B16" s="3" t="str">
        <x:v>Keep request history to support accountability and basic performance reporting.</x:v>
      </x:c>
      <x:c r="C16" s="3" t="str">
        <x:v>High</x:v>
      </x:c>
      <x:c r="D16" s="3" t="str">
        <x:v>AC-FR-015-1: History records creation, ownership, status, priority, due-date and note changes with actor and time.</x:v>
      </x:c>
      <x:c r="E16" s="3" t="str">
        <x:v>AC-FR-015-2: History survives restart and cannot be silently changed by ordinary users; timestamps support elapsed-time calculations.</x:v>
      </x:c>
    </x:row>
    <x:row r="17" ht="42" customHeight="1">
      <x:c r="A17" s="6" t="str">
        <x:v>FR-016</x:v>
      </x:c>
      <x:c r="B17" s="6" t="str">
        <x:v>Authenticate users and apply Requester, Staff and Management permissions.</x:v>
      </x:c>
      <x:c r="C17" s="6" t="str">
        <x:v>High</x:v>
      </x:c>
      <x:c r="D17" s="6" t="str">
        <x:v>AC-FR-016-1: Valid credentials for an enabled account grant the agreed access; invalid credentials grant no session.</x:v>
      </x:c>
      <x:c r="E17" s="6" t="str">
        <x:v>AC-FR-016-2: Signed-out users cannot access protected functions, and users cannot grant themselves extra permissions.</x:v>
      </x:c>
    </x:row>
    <x:row r="18" ht="42" customHeight="1">
      <x:c r="A18" s="3" t="str">
        <x:v>FR-017</x:v>
      </x:c>
      <x:c r="B18" s="3" t="str">
        <x:v>Record a controlled priority for each request and allow authorised staff to change it.</x:v>
      </x:c>
      <x:c r="C18" s="3" t="str">
        <x:v>Medium</x:v>
      </x:c>
      <x:c r="D18" s="3" t="str">
        <x:v>AC-FR-017-1: A new request receives the default priority; permitted changes are saved and appear in sorting and filtering.</x:v>
      </x:c>
      <x:c r="E18" s="3" t="str">
        <x:v>AC-FR-017-2: Unlisted priorities and requester attempts to change priority are rejected.</x:v>
      </x:c>
    </x:row>
    <x:row r="19" ht="42" customHeight="1">
      <x:c r="A19" s="6" t="str">
        <x:v>FR-018</x:v>
      </x:c>
      <x:c r="B19" s="6" t="str">
        <x:v>Allow staff to record due dates and identify overdue requests.</x:v>
      </x:c>
      <x:c r="C19" s="6" t="str">
        <x:v>Medium</x:v>
      </x:c>
      <x:c r="D19" s="6" t="str">
        <x:v>AC-FR-018-1: A valid due date and any change to it are saved with actor and time; invalid dates are rejected.</x:v>
      </x:c>
      <x:c r="E19" s="6" t="str">
        <x:v>AC-FR-018-2: Only open requests past their due time are overdue; requests without a due date are clearly marked.</x:v>
      </x:c>
    </x:row>
    <x:row r="20" ht="42" customHeight="1">
      <x:c r="A20" s="3" t="str">
        <x:v>NFR-001</x:v>
      </x:c>
      <x:c r="B20" s="3" t="str">
        <x:v>Protect requests using role and record-level access controls.</x:v>
      </x:c>
      <x:c r="C20" s="3" t="str">
        <x:v>High</x:v>
      </x:c>
      <x:c r="D20" s="3" t="str">
        <x:v>AC-NFR-001-1: The role/access test set produces zero unauthorised disclosures or changes, including direct requests.</x:v>
      </x:c>
      <x:c r="E20" s="3" t="str">
        <x:v>AC-NFR-001-2: Requester ownership and staff-category boundaries are enforced while authorised actions succeed.</x:v>
      </x:c>
    </x:row>
    <x:row r="21" ht="57" customHeight="1">
      <x:c r="A21" s="6" t="str">
        <x:v>NFR-002</x:v>
      </x:c>
      <x:c r="B21" s="6" t="str">
        <x:v>Complete at least 95% of submissions, status views, staff searches and management summaries within 3 seconds at pilot load, with at most 1% failures.</x:v>
      </x:c>
      <x:c r="C21" s="6" t="str">
        <x:v>Medium</x:v>
      </x:c>
      <x:c r="D21" s="6" t="str">
        <x:v>AC-NFR-002-1: Test with 10 concurrent users and 1,000 requests for 10 minutes after a 2-minute warm-up, with at least 100 runs per operation.</x:v>
      </x:c>
      <x:c r="E21" s="6" t="str">
        <x:v>AC-NFR-002-2: Measure each operation separately from user action to visible result; record failures, environment and cold-start time separately.</x:v>
      </x:c>
    </x:row>
    <x:row r="22" ht="42" customHeight="1">
      <x:c r="A22" s="3" t="str">
        <x:v>NFR-003</x:v>
      </x:c>
      <x:c r="B22" s="3" t="str">
        <x:v>Save request data and its history together without partial updates.</x:v>
      </x:c>
      <x:c r="C22" s="3" t="str">
        <x:v>High</x:v>
      </x:c>
      <x:c r="D22" s="3" t="str">
        <x:v>AC-NFR-003-1: A failed submission, assignment or status change leaves either the complete change or the previous state.</x:v>
      </x:c>
      <x:c r="E22" s="3" t="str">
        <x:v>AC-NFR-003-2: Saved records survive restart; a double-click submission does not create duplicate requests.</x:v>
      </x:c>
    </x:row>
    <x:row r="23" ht="42" customHeight="1">
      <x:c r="A23" s="6" t="str">
        <x:v>NFR-004</x:v>
      </x:c>
      <x:c r="B23" s="6" t="str">
        <x:v>Make request submission and status checking easy for users with basic digital skills.</x:v>
      </x:c>
      <x:c r="C23" s="6" t="str">
        <x:v>Medium</x:v>
      </x:c>
      <x:c r="D23" s="6" t="str">
        <x:v>AC-NFR-004-1: At least four of five representative participants submit a valid request and find its status within five minutes without coaching.</x:v>
      </x:c>
      <x:c r="E23" s="6" t="str">
        <x:v>AC-NFR-004-2: All participants use the same task; completion times and errors are recorded.</x:v>
      </x:c>
    </x:row>
    <x:row r="24" ht="42" customHeight="1">
      <x:c r="A24" s="3" t="str">
        <x:v>NFR-005</x:v>
      </x:c>
      <x:c r="B24" s="3" t="str">
        <x:v>Provide a responsive web interface that supports keyboard use.</x:v>
      </x:c>
      <x:c r="C24" s="3" t="str">
        <x:v>Medium</x:v>
      </x:c>
      <x:c r="D24" s="3" t="str">
        <x:v>AC-NFR-005-1: At 360 px and 1366 px viewport widths in Chrome and Edge, controls remain readable and usable without page-level horizontal scrolling.</x:v>
      </x:c>
      <x:c r="E24" s="3" t="str">
        <x:v>AC-NFR-005-2: Keyboard users can reach and operate core controls, see focus, submit a request and read validation errors.</x:v>
      </x:c>
    </x:row>
    <x:row r="25" ht="42" customHeight="1">
      <x:c r="A25" s="6" t="str">
        <x:v>NFR-006</x:v>
      </x:c>
      <x:c r="B25" s="6" t="str">
        <x:v>Use HTTPS to protect authentication and request data in deployed environments.</x:v>
      </x:c>
      <x:c r="C25" s="6" t="str">
        <x:v>High</x:v>
      </x:c>
      <x:c r="D25" s="6" t="str">
        <x:v>AC-NFR-006-1: Sign-in and protected pages use a valid certificate with no mixed-content requests.</x:v>
      </x:c>
      <x:c r="E25" s="6" t="str">
        <x:v>AC-NFR-006-2: HTTP is redirected or denied without protected content; application-generated credentials and request data use HTTPS only.</x:v>
      </x:c>
    </x:row>
    <x:row r="26" ht="42" customHeight="1">
      <x:c r="A26" s="3" t="str">
        <x:v>NFR-007</x:v>
      </x:c>
      <x:c r="B26" s="3" t="str">
        <x:v>Support recovery with no more than 24 hours of lost data and restoration within four hours.</x:v>
      </x:c>
      <x:c r="C26" s="3" t="str">
        <x:v>Medium</x:v>
      </x:c>
      <x:c r="D26" s="3" t="str">
        <x:v>AC-NFR-007-1: A restore test meets both targets and recovers consistent request, ownership, status and history records.</x:v>
      </x:c>
      <x:c r="E26" s="3" t="str">
        <x:v>AC-NFR-007-2: The backup age, restoration time and resulting records are recorded for verification.</x:v>
      </x:c>
    </x:row>
    <x:row r="27" ht="42" customHeight="1">
      <x:c r="A27" s="6" t="str">
        <x:v>NFR-008</x:v>
      </x:c>
      <x:c r="B27" s="6" t="str">
        <x:v>Keep sensitive information out of application logs and error messages.</x:v>
      </x:c>
      <x:c r="C27" s="6" t="str">
        <x:v>High</x:v>
      </x:c>
      <x:c r="D27" s="6" t="str">
        <x:v>AC-NFR-008-1: Tests using dummy secrets and private request content reveal none of that content in logs or user-facing errors.</x:v>
      </x:c>
      <x:c r="E27" s="6" t="str">
        <x:v>AC-NFR-008-2: Errors identify the failed action without exposing credentials, connection secrets or internal stack traces to users.</x:v>
      </x:c>
    </x:row>
    <x:row r="28" ht="42" customHeight="1">
      <x:c r="A28" s="3" t="str">
        <x:v>NFR-009</x:v>
      </x:c>
      <x:c r="B28" s="3" t="str">
        <x:v>Allow core request rules to be tested with controlled data in a separate test environment.</x:v>
      </x:c>
      <x:c r="C28" s="3" t="str">
        <x:v>High</x:v>
      </x:c>
      <x:c r="D28" s="3" t="str">
        <x:v>AC-NFR-009-1: Submission, access, assignment, status and reporting rules accept test inputs and produce observable results without production data.</x:v>
      </x:c>
      <x:c r="E28" s="3" t="str">
        <x:v>AC-NFR-009-2: Repeating a check from the same starting state gives the same outcome; deliberately invalid behaviour is detected.</x:v>
      </x:c>
    </x:row>
    <x:row r="31" ht="46" customHeight="1">
      <x:c r="A31" s="8" t="str">
        <x:v>Lifecycle</x:v>
      </x:c>
      <x:c r="B31" s="8" t="str">
        <x:v>Proposed sequence: New → Assigned → In Progress → Resolved → Closed, with rejection from New and a recorded reason. Open means New, Assigned or In Progress. Reopening is not included.</x:v>
      </x:c>
      <x:c r="C31" s="8"/>
      <x:c r="D31" s="8"/>
      <x:c r="E31" s="8"/>
    </x:row>
    <x:row r="32" ht="46" customHeight="1">
      <x:c r="A32" s="8" t="str">
        <x:v>Permissions and feedback</x:v>
      </x:c>
      <x:c r="B32" s="8" t="str">
        <x:v>Requesters see their own records and public updates. Staff access follows role/category permissions. Management sees service reporting. Feedback is proposed within the application; internal notes remain private.</x:v>
      </x:c>
      <x:c r="C32" s="8"/>
      <x:c r="D32" s="8"/>
      <x:c r="E32" s="8"/>
    </x:row>
    <x:row r="33" ht="46" customHeight="1">
      <x:c r="A33" s="8" t="str">
        <x:v>Priority and overdue rules</x:v>
      </x:c>
      <x:c r="B33" s="8" t="str">
        <x:v>Proposed priorities are Low, Normal and High, with Normal as default. An open request is overdue when the current time is later than its staff-set due time. Automatic escalation remains deferred.</x:v>
      </x:c>
      <x:c r="C33" s="8"/>
      <x:c r="D33" s="8"/>
      <x:c r="E33" s="8"/>
    </x:row>
    <x:row r="34" ht="46" customHeight="1">
      <x:c r="A34" s="8" t="str">
        <x:v>Items to confirm</x:v>
      </x:c>
      <x:c r="B34" s="8" t="str">
        <x:v>The team must confirm the category list, lifecycle, permission rules, feedback channel and optional attachments before sign-off. Attachments remain conditional under SR-IN-01 and are not claimed as fully specified here.</x:v>
      </x:c>
      <x:c r="C34" s="8"/>
      <x:c r="D34" s="8"/>
      <x:c r="E34" s="8"/>
    </x:row>
    <x:row r="35" ht="46" customHeight="1">
      <x:c r="A35" s="8" t="str">
        <x:v>Quality targets</x:v>
      </x:c>
      <x:c r="B35" s="8" t="str">
        <x:v>The numerical performance, usability and recovery targets are proposed pilot targets, subject to team agreement and hosting feasibility. They are not measured results.</x:v>
      </x:c>
      <x:c r="C35" s="8"/>
      <x:c r="D35" s="8"/>
      <x:c r="E35" s="8"/>
    </x:row>
  </x:sheetData>
  <x:mergeCells>
    <x:mergeCell ref="B31:E31"/>
    <x:mergeCell ref="B32:E32"/>
    <x:mergeCell ref="B33:E33"/>
    <x:mergeCell ref="B34:E34"/>
    <x:mergeCell ref="B35:E35"/>
  </x:mergeCells>
  <x:dataValidations count="1">
    <x:dataValidation type="list" sqref="C2:C28">
      <x:formula1>"High,Medium,Low"</x:formula1>
    </x:dataValidation>
  </x:dataValidations>
  <x:pageMargins left="0.7" right="0.7" top="0.75" bottom="0.75" header="0.3" footer="0.3"/>
</x:worksheet>
</file>